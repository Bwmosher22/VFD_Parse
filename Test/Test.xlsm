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330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bmosher\Documents\VFD_Parse\Test\"/>
    </mc:Choice>
  </mc:AlternateContent>
  <xr:revisionPtr revIDLastSave="0" documentId="13_ncr:1_{06EA61FD-BCA0-42A5-BBF7-A18B8901B44C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Sheet1" sheetId="1" r:id="rId1"/>
    <sheet name="Sheet2" sheetId="2" r:id="rId2"/>
    <sheet name="IVI" sheetId="4" r:id="rId3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AE19" i="1" l="1"/>
  <c r="V13" i="1"/>
  <c r="D13" i="1" s="1"/>
  <c r="V12" i="1"/>
  <c r="D12" i="1" s="1"/>
  <c r="AB172" i="4"/>
  <c r="Y172" i="4"/>
  <c r="AF172" i="4" s="1"/>
  <c r="AE172" i="4" s="1"/>
  <c r="X172" i="4"/>
  <c r="AD172" i="4" s="1"/>
  <c r="AC172" i="4" s="1"/>
  <c r="AB171" i="4"/>
  <c r="Y171" i="4"/>
  <c r="AF171" i="4" s="1"/>
  <c r="AE171" i="4" s="1"/>
  <c r="X171" i="4"/>
  <c r="AD171" i="4" s="1"/>
  <c r="AC171" i="4" s="1"/>
  <c r="AB170" i="4"/>
  <c r="Y170" i="4"/>
  <c r="AF170" i="4" s="1"/>
  <c r="AE170" i="4" s="1"/>
  <c r="X170" i="4"/>
  <c r="AD170" i="4" s="1"/>
  <c r="AC170" i="4" s="1"/>
  <c r="AB169" i="4"/>
  <c r="Y169" i="4"/>
  <c r="AF169" i="4" s="1"/>
  <c r="AE169" i="4" s="1"/>
  <c r="X169" i="4"/>
  <c r="AD169" i="4" s="1"/>
  <c r="AB168" i="4"/>
  <c r="Y168" i="4"/>
  <c r="AF168" i="4" s="1"/>
  <c r="AE168" i="4" s="1"/>
  <c r="X168" i="4"/>
  <c r="AD168" i="4" s="1"/>
  <c r="AC168" i="4" s="1"/>
  <c r="AB167" i="4"/>
  <c r="Y167" i="4"/>
  <c r="AF167" i="4" s="1"/>
  <c r="AE167" i="4" s="1"/>
  <c r="X167" i="4"/>
  <c r="AD167" i="4" s="1"/>
  <c r="AB166" i="4"/>
  <c r="Y166" i="4"/>
  <c r="AF166" i="4" s="1"/>
  <c r="AE166" i="4" s="1"/>
  <c r="X166" i="4"/>
  <c r="AD166" i="4" s="1"/>
  <c r="AB165" i="4"/>
  <c r="Y165" i="4"/>
  <c r="AF165" i="4" s="1"/>
  <c r="AE165" i="4" s="1"/>
  <c r="X165" i="4"/>
  <c r="AD165" i="4" s="1"/>
  <c r="AB164" i="4"/>
  <c r="Y164" i="4"/>
  <c r="AF164" i="4" s="1"/>
  <c r="AE164" i="4" s="1"/>
  <c r="X164" i="4"/>
  <c r="AD164" i="4" s="1"/>
  <c r="AC164" i="4" s="1"/>
  <c r="AB163" i="4"/>
  <c r="Y163" i="4"/>
  <c r="AF163" i="4" s="1"/>
  <c r="AE163" i="4" s="1"/>
  <c r="X163" i="4"/>
  <c r="AD163" i="4" s="1"/>
  <c r="AB162" i="4"/>
  <c r="Y162" i="4"/>
  <c r="AF162" i="4" s="1"/>
  <c r="AE162" i="4" s="1"/>
  <c r="X162" i="4"/>
  <c r="AD162" i="4" s="1"/>
  <c r="AB161" i="4"/>
  <c r="Y161" i="4"/>
  <c r="AF161" i="4" s="1"/>
  <c r="AE161" i="4" s="1"/>
  <c r="X161" i="4"/>
  <c r="AD161" i="4" s="1"/>
  <c r="AC161" i="4" s="1"/>
  <c r="AB160" i="4"/>
  <c r="Y160" i="4"/>
  <c r="AF160" i="4" s="1"/>
  <c r="AE160" i="4" s="1"/>
  <c r="X160" i="4"/>
  <c r="AD160" i="4" s="1"/>
  <c r="AC160" i="4" s="1"/>
  <c r="AB159" i="4"/>
  <c r="Y159" i="4"/>
  <c r="AF159" i="4" s="1"/>
  <c r="AE159" i="4" s="1"/>
  <c r="X159" i="4"/>
  <c r="AD159" i="4" s="1"/>
  <c r="AC159" i="4" s="1"/>
  <c r="AB158" i="4"/>
  <c r="Y158" i="4"/>
  <c r="AF158" i="4" s="1"/>
  <c r="AE158" i="4" s="1"/>
  <c r="X158" i="4"/>
  <c r="AD158" i="4" s="1"/>
  <c r="AB157" i="4"/>
  <c r="Y157" i="4"/>
  <c r="AF157" i="4" s="1"/>
  <c r="AE157" i="4" s="1"/>
  <c r="X157" i="4"/>
  <c r="AD157" i="4" s="1"/>
  <c r="AB156" i="4"/>
  <c r="Y156" i="4"/>
  <c r="AF156" i="4" s="1"/>
  <c r="AE156" i="4" s="1"/>
  <c r="X156" i="4"/>
  <c r="AD156" i="4" s="1"/>
  <c r="AC156" i="4" s="1"/>
  <c r="AB155" i="4"/>
  <c r="Y155" i="4"/>
  <c r="AF155" i="4" s="1"/>
  <c r="AE155" i="4" s="1"/>
  <c r="X155" i="4"/>
  <c r="AD155" i="4" s="1"/>
  <c r="AC155" i="4" s="1"/>
  <c r="AB154" i="4"/>
  <c r="Y154" i="4"/>
  <c r="AF154" i="4" s="1"/>
  <c r="AE154" i="4" s="1"/>
  <c r="X154" i="4"/>
  <c r="AD154" i="4" s="1"/>
  <c r="AC154" i="4" s="1"/>
  <c r="AB153" i="4"/>
  <c r="Y153" i="4"/>
  <c r="AF153" i="4" s="1"/>
  <c r="AE153" i="4" s="1"/>
  <c r="X153" i="4"/>
  <c r="AD153" i="4" s="1"/>
  <c r="AB152" i="4"/>
  <c r="Y152" i="4"/>
  <c r="AF152" i="4" s="1"/>
  <c r="AE152" i="4" s="1"/>
  <c r="X152" i="4"/>
  <c r="AD152" i="4" s="1"/>
  <c r="AC152" i="4" s="1"/>
  <c r="AB151" i="4"/>
  <c r="Y151" i="4"/>
  <c r="AF151" i="4" s="1"/>
  <c r="AE151" i="4" s="1"/>
  <c r="X151" i="4"/>
  <c r="AD151" i="4" s="1"/>
  <c r="AB150" i="4"/>
  <c r="Y150" i="4"/>
  <c r="AF150" i="4" s="1"/>
  <c r="AE150" i="4" s="1"/>
  <c r="X150" i="4"/>
  <c r="AD150" i="4" s="1"/>
  <c r="AB149" i="4"/>
  <c r="Y149" i="4"/>
  <c r="AF149" i="4" s="1"/>
  <c r="AE149" i="4" s="1"/>
  <c r="X149" i="4"/>
  <c r="AD149" i="4" s="1"/>
  <c r="AB148" i="4"/>
  <c r="Y148" i="4"/>
  <c r="AF148" i="4" s="1"/>
  <c r="X148" i="4"/>
  <c r="AD148" i="4" s="1"/>
  <c r="AC148" i="4" s="1"/>
  <c r="AB147" i="4"/>
  <c r="Y147" i="4"/>
  <c r="AF147" i="4" s="1"/>
  <c r="AE147" i="4" s="1"/>
  <c r="X147" i="4"/>
  <c r="AD147" i="4" s="1"/>
  <c r="AC147" i="4" s="1"/>
  <c r="AB146" i="4"/>
  <c r="Y146" i="4"/>
  <c r="AF146" i="4" s="1"/>
  <c r="AE146" i="4" s="1"/>
  <c r="X146" i="4"/>
  <c r="AD146" i="4" s="1"/>
  <c r="AB145" i="4"/>
  <c r="Y145" i="4"/>
  <c r="AF145" i="4" s="1"/>
  <c r="AE145" i="4" s="1"/>
  <c r="X145" i="4"/>
  <c r="AD145" i="4" s="1"/>
  <c r="AC145" i="4" s="1"/>
  <c r="AB144" i="4"/>
  <c r="Y144" i="4"/>
  <c r="AF144" i="4" s="1"/>
  <c r="AE144" i="4" s="1"/>
  <c r="X144" i="4"/>
  <c r="AD144" i="4" s="1"/>
  <c r="AB143" i="4"/>
  <c r="Y143" i="4"/>
  <c r="AF143" i="4" s="1"/>
  <c r="AE143" i="4" s="1"/>
  <c r="X143" i="4"/>
  <c r="AD143" i="4" s="1"/>
  <c r="AC143" i="4" s="1"/>
  <c r="AB142" i="4"/>
  <c r="Y142" i="4"/>
  <c r="AF142" i="4" s="1"/>
  <c r="AE142" i="4" s="1"/>
  <c r="X142" i="4"/>
  <c r="AD142" i="4" s="1"/>
  <c r="AB141" i="4"/>
  <c r="Y141" i="4"/>
  <c r="AF141" i="4" s="1"/>
  <c r="AE141" i="4" s="1"/>
  <c r="X141" i="4"/>
  <c r="AD141" i="4" s="1"/>
  <c r="AB140" i="4"/>
  <c r="Y140" i="4"/>
  <c r="AF140" i="4" s="1"/>
  <c r="AE140" i="4" s="1"/>
  <c r="X140" i="4"/>
  <c r="AD140" i="4" s="1"/>
  <c r="AC140" i="4" s="1"/>
  <c r="AB139" i="4"/>
  <c r="Y139" i="4"/>
  <c r="AF139" i="4" s="1"/>
  <c r="AE139" i="4" s="1"/>
  <c r="X139" i="4"/>
  <c r="AD139" i="4" s="1"/>
  <c r="AC139" i="4" s="1"/>
  <c r="AB138" i="4"/>
  <c r="Y138" i="4"/>
  <c r="AF138" i="4" s="1"/>
  <c r="AE138" i="4" s="1"/>
  <c r="X138" i="4"/>
  <c r="AD138" i="4" s="1"/>
  <c r="AC138" i="4" s="1"/>
  <c r="AB137" i="4"/>
  <c r="Y137" i="4"/>
  <c r="AF137" i="4" s="1"/>
  <c r="AE137" i="4" s="1"/>
  <c r="X137" i="4"/>
  <c r="AD137" i="4" s="1"/>
  <c r="AB136" i="4"/>
  <c r="Y136" i="4"/>
  <c r="AF136" i="4" s="1"/>
  <c r="AE136" i="4" s="1"/>
  <c r="X136" i="4"/>
  <c r="AD136" i="4" s="1"/>
  <c r="AC136" i="4" s="1"/>
  <c r="AB135" i="4"/>
  <c r="Y135" i="4"/>
  <c r="AF135" i="4" s="1"/>
  <c r="AE135" i="4" s="1"/>
  <c r="X135" i="4"/>
  <c r="AD135" i="4" s="1"/>
  <c r="AB134" i="4"/>
  <c r="Y134" i="4"/>
  <c r="AF134" i="4" s="1"/>
  <c r="AE134" i="4" s="1"/>
  <c r="X134" i="4"/>
  <c r="AD134" i="4" s="1"/>
  <c r="AC134" i="4" s="1"/>
  <c r="AB133" i="4"/>
  <c r="Y133" i="4"/>
  <c r="AF133" i="4" s="1"/>
  <c r="AE133" i="4" s="1"/>
  <c r="X133" i="4"/>
  <c r="AD133" i="4" s="1"/>
  <c r="AB132" i="4"/>
  <c r="Y132" i="4"/>
  <c r="AF132" i="4" s="1"/>
  <c r="AE132" i="4" s="1"/>
  <c r="X132" i="4"/>
  <c r="AD132" i="4" s="1"/>
  <c r="AC132" i="4" s="1"/>
  <c r="AB131" i="4"/>
  <c r="Y131" i="4"/>
  <c r="AF131" i="4" s="1"/>
  <c r="AE131" i="4" s="1"/>
  <c r="X131" i="4"/>
  <c r="AD131" i="4" s="1"/>
  <c r="AC131" i="4" s="1"/>
  <c r="AB130" i="4"/>
  <c r="Y130" i="4"/>
  <c r="AF130" i="4" s="1"/>
  <c r="AE130" i="4" s="1"/>
  <c r="X130" i="4"/>
  <c r="AD130" i="4" s="1"/>
  <c r="AB129" i="4"/>
  <c r="Y129" i="4"/>
  <c r="AF129" i="4" s="1"/>
  <c r="AE129" i="4" s="1"/>
  <c r="X129" i="4"/>
  <c r="AD129" i="4" s="1"/>
  <c r="AB128" i="4"/>
  <c r="Y128" i="4"/>
  <c r="AF128" i="4" s="1"/>
  <c r="AE128" i="4" s="1"/>
  <c r="X128" i="4"/>
  <c r="AD128" i="4" s="1"/>
  <c r="AB127" i="4"/>
  <c r="Y127" i="4"/>
  <c r="AF127" i="4" s="1"/>
  <c r="AE127" i="4" s="1"/>
  <c r="X127" i="4"/>
  <c r="AD127" i="4" s="1"/>
  <c r="AC127" i="4" s="1"/>
  <c r="AB126" i="4"/>
  <c r="Y126" i="4"/>
  <c r="AF126" i="4" s="1"/>
  <c r="AE126" i="4" s="1"/>
  <c r="X126" i="4"/>
  <c r="AD126" i="4" s="1"/>
  <c r="AB125" i="4"/>
  <c r="Y125" i="4"/>
  <c r="AF125" i="4" s="1"/>
  <c r="AE125" i="4" s="1"/>
  <c r="X125" i="4"/>
  <c r="AD125" i="4" s="1"/>
  <c r="AC125" i="4" s="1"/>
  <c r="AB124" i="4"/>
  <c r="Y124" i="4"/>
  <c r="AF124" i="4" s="1"/>
  <c r="AE124" i="4" s="1"/>
  <c r="X124" i="4"/>
  <c r="AD124" i="4" s="1"/>
  <c r="AB123" i="4"/>
  <c r="Y123" i="4"/>
  <c r="AF123" i="4" s="1"/>
  <c r="AE123" i="4" s="1"/>
  <c r="X123" i="4"/>
  <c r="AD123" i="4" s="1"/>
  <c r="AB122" i="4"/>
  <c r="Y122" i="4"/>
  <c r="AF122" i="4" s="1"/>
  <c r="AE122" i="4" s="1"/>
  <c r="X122" i="4"/>
  <c r="AD122" i="4" s="1"/>
  <c r="AC122" i="4" s="1"/>
  <c r="AB121" i="4"/>
  <c r="Y121" i="4"/>
  <c r="AF121" i="4" s="1"/>
  <c r="AE121" i="4" s="1"/>
  <c r="X121" i="4"/>
  <c r="AD121" i="4" s="1"/>
  <c r="AB120" i="4"/>
  <c r="Y120" i="4"/>
  <c r="AF120" i="4" s="1"/>
  <c r="AE120" i="4" s="1"/>
  <c r="X120" i="4"/>
  <c r="AD120" i="4" s="1"/>
  <c r="AC120" i="4" s="1"/>
  <c r="AB119" i="4"/>
  <c r="Y119" i="4"/>
  <c r="AF119" i="4" s="1"/>
  <c r="AE119" i="4" s="1"/>
  <c r="X119" i="4"/>
  <c r="AD119" i="4" s="1"/>
  <c r="AD118" i="4"/>
  <c r="AB118" i="4"/>
  <c r="Y118" i="4"/>
  <c r="AF118" i="4" s="1"/>
  <c r="AE118" i="4" s="1"/>
  <c r="X118" i="4"/>
  <c r="AD117" i="4"/>
  <c r="AB117" i="4"/>
  <c r="Y117" i="4"/>
  <c r="AF117" i="4" s="1"/>
  <c r="AE117" i="4" s="1"/>
  <c r="X117" i="4"/>
  <c r="AB116" i="4"/>
  <c r="Y116" i="4"/>
  <c r="AF116" i="4" s="1"/>
  <c r="AE116" i="4" s="1"/>
  <c r="X116" i="4"/>
  <c r="AD116" i="4" s="1"/>
  <c r="AC116" i="4" s="1"/>
  <c r="AB115" i="4"/>
  <c r="Y115" i="4"/>
  <c r="AF115" i="4" s="1"/>
  <c r="AE115" i="4" s="1"/>
  <c r="X115" i="4"/>
  <c r="AD115" i="4" s="1"/>
  <c r="AC115" i="4" s="1"/>
  <c r="AB114" i="4"/>
  <c r="Y114" i="4"/>
  <c r="AF114" i="4" s="1"/>
  <c r="AE114" i="4" s="1"/>
  <c r="X114" i="4"/>
  <c r="AD114" i="4" s="1"/>
  <c r="AB113" i="4"/>
  <c r="Y113" i="4"/>
  <c r="AF113" i="4" s="1"/>
  <c r="AE113" i="4" s="1"/>
  <c r="X113" i="4"/>
  <c r="AD113" i="4" s="1"/>
  <c r="AC113" i="4" s="1"/>
  <c r="AB112" i="4"/>
  <c r="Y112" i="4"/>
  <c r="AF112" i="4" s="1"/>
  <c r="AE112" i="4" s="1"/>
  <c r="X112" i="4"/>
  <c r="AD112" i="4" s="1"/>
  <c r="AB111" i="4"/>
  <c r="Y111" i="4"/>
  <c r="AF111" i="4" s="1"/>
  <c r="AE111" i="4" s="1"/>
  <c r="X111" i="4"/>
  <c r="AD111" i="4" s="1"/>
  <c r="AC111" i="4" s="1"/>
  <c r="AB110" i="4"/>
  <c r="Y110" i="4"/>
  <c r="AF110" i="4" s="1"/>
  <c r="AE110" i="4" s="1"/>
  <c r="X110" i="4"/>
  <c r="AD110" i="4" s="1"/>
  <c r="AB109" i="4"/>
  <c r="Y109" i="4"/>
  <c r="AF109" i="4" s="1"/>
  <c r="AE109" i="4" s="1"/>
  <c r="X109" i="4"/>
  <c r="AD109" i="4" s="1"/>
  <c r="AC109" i="4" s="1"/>
  <c r="AB108" i="4"/>
  <c r="Y108" i="4"/>
  <c r="AF108" i="4" s="1"/>
  <c r="AE108" i="4" s="1"/>
  <c r="X108" i="4"/>
  <c r="AD108" i="4" s="1"/>
  <c r="AC108" i="4" s="1"/>
  <c r="AB107" i="4"/>
  <c r="Y107" i="4"/>
  <c r="AF107" i="4" s="1"/>
  <c r="AE107" i="4" s="1"/>
  <c r="X107" i="4"/>
  <c r="AD107" i="4" s="1"/>
  <c r="AC107" i="4" s="1"/>
  <c r="AB106" i="4"/>
  <c r="Y106" i="4"/>
  <c r="AF106" i="4" s="1"/>
  <c r="AE106" i="4" s="1"/>
  <c r="X106" i="4"/>
  <c r="AD106" i="4" s="1"/>
  <c r="AB105" i="4"/>
  <c r="Y105" i="4"/>
  <c r="AF105" i="4" s="1"/>
  <c r="AE105" i="4" s="1"/>
  <c r="X105" i="4"/>
  <c r="AD105" i="4" s="1"/>
  <c r="AC105" i="4" s="1"/>
  <c r="AB104" i="4"/>
  <c r="Y104" i="4"/>
  <c r="AF104" i="4" s="1"/>
  <c r="AE104" i="4" s="1"/>
  <c r="X104" i="4"/>
  <c r="AD104" i="4" s="1"/>
  <c r="AC104" i="4" s="1"/>
  <c r="AB103" i="4"/>
  <c r="Y103" i="4"/>
  <c r="AF103" i="4" s="1"/>
  <c r="AE103" i="4" s="1"/>
  <c r="X103" i="4"/>
  <c r="AD103" i="4" s="1"/>
  <c r="AB102" i="4"/>
  <c r="Y102" i="4"/>
  <c r="AF102" i="4" s="1"/>
  <c r="AE102" i="4" s="1"/>
  <c r="X102" i="4"/>
  <c r="AD102" i="4" s="1"/>
  <c r="AB101" i="4"/>
  <c r="Y101" i="4"/>
  <c r="AF101" i="4" s="1"/>
  <c r="AE101" i="4" s="1"/>
  <c r="X101" i="4"/>
  <c r="AD101" i="4" s="1"/>
  <c r="AB100" i="4"/>
  <c r="Y100" i="4"/>
  <c r="AF100" i="4" s="1"/>
  <c r="AE100" i="4" s="1"/>
  <c r="X100" i="4"/>
  <c r="AD100" i="4" s="1"/>
  <c r="AC100" i="4" s="1"/>
  <c r="AB99" i="4"/>
  <c r="Y99" i="4"/>
  <c r="AF99" i="4" s="1"/>
  <c r="AE99" i="4" s="1"/>
  <c r="X99" i="4"/>
  <c r="AD99" i="4" s="1"/>
  <c r="AB98" i="4"/>
  <c r="Y98" i="4"/>
  <c r="AF98" i="4" s="1"/>
  <c r="AE98" i="4" s="1"/>
  <c r="X98" i="4"/>
  <c r="AD98" i="4" s="1"/>
  <c r="AB97" i="4"/>
  <c r="Y97" i="4"/>
  <c r="AF97" i="4" s="1"/>
  <c r="AE97" i="4" s="1"/>
  <c r="X97" i="4"/>
  <c r="AD97" i="4" s="1"/>
  <c r="AB96" i="4"/>
  <c r="Y96" i="4"/>
  <c r="AF96" i="4" s="1"/>
  <c r="AE96" i="4" s="1"/>
  <c r="X96" i="4"/>
  <c r="AD96" i="4" s="1"/>
  <c r="AB95" i="4"/>
  <c r="Y95" i="4"/>
  <c r="AF95" i="4" s="1"/>
  <c r="AE95" i="4" s="1"/>
  <c r="X95" i="4"/>
  <c r="AD95" i="4" s="1"/>
  <c r="AC95" i="4" s="1"/>
  <c r="AB94" i="4"/>
  <c r="Y94" i="4"/>
  <c r="AF94" i="4" s="1"/>
  <c r="AE94" i="4" s="1"/>
  <c r="X94" i="4"/>
  <c r="AD94" i="4" s="1"/>
  <c r="AC94" i="4" s="1"/>
  <c r="AB93" i="4"/>
  <c r="Y93" i="4"/>
  <c r="AF93" i="4" s="1"/>
  <c r="AE93" i="4" s="1"/>
  <c r="X93" i="4"/>
  <c r="AD93" i="4" s="1"/>
  <c r="AC93" i="4" s="1"/>
  <c r="AB92" i="4"/>
  <c r="Y92" i="4"/>
  <c r="AF92" i="4" s="1"/>
  <c r="AE92" i="4" s="1"/>
  <c r="X92" i="4"/>
  <c r="AD92" i="4" s="1"/>
  <c r="AC92" i="4" s="1"/>
  <c r="AB91" i="4"/>
  <c r="Y91" i="4"/>
  <c r="AF91" i="4" s="1"/>
  <c r="AE91" i="4" s="1"/>
  <c r="X91" i="4"/>
  <c r="AD91" i="4" s="1"/>
  <c r="AC91" i="4" s="1"/>
  <c r="AB90" i="4"/>
  <c r="Y90" i="4"/>
  <c r="AF90" i="4" s="1"/>
  <c r="AE90" i="4" s="1"/>
  <c r="X90" i="4"/>
  <c r="AD90" i="4" s="1"/>
  <c r="AC90" i="4" s="1"/>
  <c r="AB89" i="4"/>
  <c r="Y89" i="4"/>
  <c r="AF89" i="4" s="1"/>
  <c r="X89" i="4"/>
  <c r="AD89" i="4" s="1"/>
  <c r="AC89" i="4" s="1"/>
  <c r="AB88" i="4"/>
  <c r="Y88" i="4"/>
  <c r="AF88" i="4" s="1"/>
  <c r="AE88" i="4" s="1"/>
  <c r="X88" i="4"/>
  <c r="AD88" i="4" s="1"/>
  <c r="AC88" i="4" s="1"/>
  <c r="AB87" i="4"/>
  <c r="Y87" i="4"/>
  <c r="AF87" i="4" s="1"/>
  <c r="AE87" i="4" s="1"/>
  <c r="X87" i="4"/>
  <c r="AD87" i="4" s="1"/>
  <c r="AC87" i="4" s="1"/>
  <c r="AB86" i="4"/>
  <c r="Y86" i="4"/>
  <c r="AF86" i="4" s="1"/>
  <c r="AE86" i="4" s="1"/>
  <c r="X86" i="4"/>
  <c r="AD86" i="4" s="1"/>
  <c r="AB85" i="4"/>
  <c r="Y85" i="4"/>
  <c r="AF85" i="4" s="1"/>
  <c r="AE85" i="4" s="1"/>
  <c r="X85" i="4"/>
  <c r="AD85" i="4" s="1"/>
  <c r="AB84" i="4"/>
  <c r="Y84" i="4"/>
  <c r="AF84" i="4" s="1"/>
  <c r="AE84" i="4" s="1"/>
  <c r="X84" i="4"/>
  <c r="AD84" i="4" s="1"/>
  <c r="AC84" i="4" s="1"/>
  <c r="AB83" i="4"/>
  <c r="Y83" i="4"/>
  <c r="AF83" i="4" s="1"/>
  <c r="AE83" i="4" s="1"/>
  <c r="X83" i="4"/>
  <c r="AD83" i="4" s="1"/>
  <c r="AB82" i="4"/>
  <c r="Y82" i="4"/>
  <c r="AF82" i="4" s="1"/>
  <c r="AE82" i="4" s="1"/>
  <c r="X82" i="4"/>
  <c r="AD82" i="4" s="1"/>
  <c r="AB81" i="4"/>
  <c r="Y81" i="4"/>
  <c r="AF81" i="4" s="1"/>
  <c r="AE81" i="4" s="1"/>
  <c r="X81" i="4"/>
  <c r="AD81" i="4" s="1"/>
  <c r="AB80" i="4"/>
  <c r="Y80" i="4"/>
  <c r="AF80" i="4" s="1"/>
  <c r="X80" i="4"/>
  <c r="AD80" i="4" s="1"/>
  <c r="AC80" i="4" s="1"/>
  <c r="AB79" i="4"/>
  <c r="Y79" i="4"/>
  <c r="AF79" i="4" s="1"/>
  <c r="AE79" i="4" s="1"/>
  <c r="X79" i="4"/>
  <c r="AD79" i="4" s="1"/>
  <c r="AC79" i="4" s="1"/>
  <c r="AB78" i="4"/>
  <c r="Y78" i="4"/>
  <c r="AF78" i="4" s="1"/>
  <c r="AE78" i="4" s="1"/>
  <c r="X78" i="4"/>
  <c r="AD78" i="4" s="1"/>
  <c r="AB77" i="4"/>
  <c r="Y77" i="4"/>
  <c r="AF77" i="4" s="1"/>
  <c r="AE77" i="4" s="1"/>
  <c r="X77" i="4"/>
  <c r="AD77" i="4" s="1"/>
  <c r="AC77" i="4" s="1"/>
  <c r="AB76" i="4"/>
  <c r="Y76" i="4"/>
  <c r="AF76" i="4" s="1"/>
  <c r="AE76" i="4" s="1"/>
  <c r="X76" i="4"/>
  <c r="AD76" i="4" s="1"/>
  <c r="AB75" i="4"/>
  <c r="Y75" i="4"/>
  <c r="AF75" i="4" s="1"/>
  <c r="AE75" i="4" s="1"/>
  <c r="X75" i="4"/>
  <c r="AD75" i="4" s="1"/>
  <c r="AB74" i="4"/>
  <c r="Y74" i="4"/>
  <c r="AF74" i="4" s="1"/>
  <c r="AE74" i="4" s="1"/>
  <c r="X74" i="4"/>
  <c r="AD74" i="4" s="1"/>
  <c r="AC74" i="4" s="1"/>
  <c r="AB73" i="4"/>
  <c r="Y73" i="4"/>
  <c r="AF73" i="4" s="1"/>
  <c r="AE73" i="4" s="1"/>
  <c r="X73" i="4"/>
  <c r="AD73" i="4" s="1"/>
  <c r="AB72" i="4"/>
  <c r="Y72" i="4"/>
  <c r="AF72" i="4" s="1"/>
  <c r="AE72" i="4" s="1"/>
  <c r="X72" i="4"/>
  <c r="AD72" i="4" s="1"/>
  <c r="AB71" i="4"/>
  <c r="Y71" i="4"/>
  <c r="AF71" i="4" s="1"/>
  <c r="AE71" i="4" s="1"/>
  <c r="X71" i="4"/>
  <c r="AD71" i="4" s="1"/>
  <c r="AC71" i="4" s="1"/>
  <c r="AB70" i="4"/>
  <c r="Y70" i="4"/>
  <c r="AF70" i="4" s="1"/>
  <c r="AE70" i="4" s="1"/>
  <c r="X70" i="4"/>
  <c r="AD70" i="4" s="1"/>
  <c r="AB69" i="4"/>
  <c r="Y69" i="4"/>
  <c r="AF69" i="4" s="1"/>
  <c r="AE69" i="4" s="1"/>
  <c r="X69" i="4"/>
  <c r="AD69" i="4" s="1"/>
  <c r="AB68" i="4"/>
  <c r="Y68" i="4"/>
  <c r="AF68" i="4" s="1"/>
  <c r="X68" i="4"/>
  <c r="AD68" i="4" s="1"/>
  <c r="AC68" i="4" s="1"/>
  <c r="AB67" i="4"/>
  <c r="Y67" i="4"/>
  <c r="AF67" i="4" s="1"/>
  <c r="AE67" i="4" s="1"/>
  <c r="X67" i="4"/>
  <c r="AD67" i="4" s="1"/>
  <c r="AC67" i="4" s="1"/>
  <c r="AB66" i="4"/>
  <c r="Y66" i="4"/>
  <c r="AF66" i="4" s="1"/>
  <c r="AE66" i="4" s="1"/>
  <c r="X66" i="4"/>
  <c r="AD66" i="4" s="1"/>
  <c r="AB65" i="4"/>
  <c r="Y65" i="4"/>
  <c r="AF65" i="4" s="1"/>
  <c r="AE65" i="4" s="1"/>
  <c r="X65" i="4"/>
  <c r="AD65" i="4" s="1"/>
  <c r="AB64" i="4"/>
  <c r="Y64" i="4"/>
  <c r="AF64" i="4" s="1"/>
  <c r="AE64" i="4" s="1"/>
  <c r="X64" i="4"/>
  <c r="AD64" i="4" s="1"/>
  <c r="AC64" i="4" s="1"/>
  <c r="AB63" i="4"/>
  <c r="Y63" i="4"/>
  <c r="AF63" i="4" s="1"/>
  <c r="AE63" i="4" s="1"/>
  <c r="X63" i="4"/>
  <c r="AD63" i="4" s="1"/>
  <c r="AB62" i="4"/>
  <c r="Y62" i="4"/>
  <c r="AF62" i="4" s="1"/>
  <c r="AE62" i="4" s="1"/>
  <c r="X62" i="4"/>
  <c r="AD62" i="4" s="1"/>
  <c r="AB61" i="4"/>
  <c r="Y61" i="4"/>
  <c r="AF61" i="4" s="1"/>
  <c r="AE61" i="4" s="1"/>
  <c r="X61" i="4"/>
  <c r="AD61" i="4" s="1"/>
  <c r="AC61" i="4" s="1"/>
  <c r="AB60" i="4"/>
  <c r="Y60" i="4"/>
  <c r="AF60" i="4" s="1"/>
  <c r="AE60" i="4" s="1"/>
  <c r="X60" i="4"/>
  <c r="AD60" i="4" s="1"/>
  <c r="AB59" i="4"/>
  <c r="Y59" i="4"/>
  <c r="AF59" i="4" s="1"/>
  <c r="AE59" i="4" s="1"/>
  <c r="X59" i="4"/>
  <c r="AD59" i="4" s="1"/>
  <c r="AC59" i="4" s="1"/>
  <c r="AB58" i="4"/>
  <c r="Y58" i="4"/>
  <c r="AF58" i="4" s="1"/>
  <c r="AE58" i="4" s="1"/>
  <c r="X58" i="4"/>
  <c r="AD58" i="4" s="1"/>
  <c r="AB57" i="4"/>
  <c r="Y57" i="4"/>
  <c r="AF57" i="4" s="1"/>
  <c r="AE57" i="4" s="1"/>
  <c r="X57" i="4"/>
  <c r="AD57" i="4" s="1"/>
  <c r="AC57" i="4" s="1"/>
  <c r="AB56" i="4"/>
  <c r="Y56" i="4"/>
  <c r="AF56" i="4" s="1"/>
  <c r="AE56" i="4" s="1"/>
  <c r="X56" i="4"/>
  <c r="AD56" i="4" s="1"/>
  <c r="AB55" i="4"/>
  <c r="Y55" i="4"/>
  <c r="AF55" i="4" s="1"/>
  <c r="AE55" i="4" s="1"/>
  <c r="X55" i="4"/>
  <c r="AD55" i="4" s="1"/>
  <c r="AB54" i="4"/>
  <c r="Y54" i="4"/>
  <c r="AF54" i="4" s="1"/>
  <c r="AE54" i="4" s="1"/>
  <c r="X54" i="4"/>
  <c r="AD54" i="4" s="1"/>
  <c r="AC54" i="4" s="1"/>
  <c r="AB53" i="4"/>
  <c r="Y53" i="4"/>
  <c r="AF53" i="4" s="1"/>
  <c r="AE53" i="4" s="1"/>
  <c r="X53" i="4"/>
  <c r="AD53" i="4" s="1"/>
  <c r="AC53" i="4" s="1"/>
  <c r="AB52" i="4"/>
  <c r="Y52" i="4"/>
  <c r="AF52" i="4" s="1"/>
  <c r="AE52" i="4" s="1"/>
  <c r="X52" i="4"/>
  <c r="AD52" i="4" s="1"/>
  <c r="AC52" i="4" s="1"/>
  <c r="AB51" i="4"/>
  <c r="Y51" i="4"/>
  <c r="AF51" i="4" s="1"/>
  <c r="AE51" i="4" s="1"/>
  <c r="X51" i="4"/>
  <c r="AD51" i="4" s="1"/>
  <c r="AB50" i="4"/>
  <c r="Y50" i="4"/>
  <c r="AF50" i="4" s="1"/>
  <c r="AE50" i="4" s="1"/>
  <c r="X50" i="4"/>
  <c r="AD50" i="4" s="1"/>
  <c r="AC50" i="4" s="1"/>
  <c r="AB49" i="4"/>
  <c r="Y49" i="4"/>
  <c r="AF49" i="4" s="1"/>
  <c r="AE49" i="4" s="1"/>
  <c r="X49" i="4"/>
  <c r="AD49" i="4" s="1"/>
  <c r="AB48" i="4"/>
  <c r="Y48" i="4"/>
  <c r="AF48" i="4" s="1"/>
  <c r="AE48" i="4" s="1"/>
  <c r="X48" i="4"/>
  <c r="AD48" i="4" s="1"/>
  <c r="AB47" i="4"/>
  <c r="Y47" i="4"/>
  <c r="AF47" i="4" s="1"/>
  <c r="AE47" i="4" s="1"/>
  <c r="X47" i="4"/>
  <c r="AD47" i="4" s="1"/>
  <c r="AB46" i="4"/>
  <c r="Y46" i="4"/>
  <c r="AF46" i="4" s="1"/>
  <c r="AE46" i="4" s="1"/>
  <c r="X46" i="4"/>
  <c r="AD46" i="4" s="1"/>
  <c r="AB45" i="4"/>
  <c r="Y45" i="4"/>
  <c r="AF45" i="4" s="1"/>
  <c r="AE45" i="4" s="1"/>
  <c r="X45" i="4"/>
  <c r="AD45" i="4" s="1"/>
  <c r="AC45" i="4" s="1"/>
  <c r="AB44" i="4"/>
  <c r="Y44" i="4"/>
  <c r="AF44" i="4" s="1"/>
  <c r="AE44" i="4" s="1"/>
  <c r="X44" i="4"/>
  <c r="AD44" i="4" s="1"/>
  <c r="AB43" i="4"/>
  <c r="Y43" i="4"/>
  <c r="AF43" i="4" s="1"/>
  <c r="AE43" i="4" s="1"/>
  <c r="X43" i="4"/>
  <c r="AD43" i="4" s="1"/>
  <c r="AC43" i="4" s="1"/>
  <c r="AB42" i="4"/>
  <c r="Y42" i="4"/>
  <c r="AF42" i="4" s="1"/>
  <c r="AE42" i="4" s="1"/>
  <c r="X42" i="4"/>
  <c r="AD42" i="4" s="1"/>
  <c r="AC42" i="4" s="1"/>
  <c r="AB41" i="4"/>
  <c r="Y41" i="4"/>
  <c r="AF41" i="4" s="1"/>
  <c r="AE41" i="4" s="1"/>
  <c r="X41" i="4"/>
  <c r="AD41" i="4" s="1"/>
  <c r="AB40" i="4"/>
  <c r="Y40" i="4"/>
  <c r="AF40" i="4" s="1"/>
  <c r="AE40" i="4" s="1"/>
  <c r="X40" i="4"/>
  <c r="AD40" i="4" s="1"/>
  <c r="AB39" i="4"/>
  <c r="Y39" i="4"/>
  <c r="AF39" i="4" s="1"/>
  <c r="AE39" i="4" s="1"/>
  <c r="X39" i="4"/>
  <c r="AD39" i="4" s="1"/>
  <c r="AC39" i="4" s="1"/>
  <c r="AB38" i="4"/>
  <c r="Y38" i="4"/>
  <c r="AF38" i="4" s="1"/>
  <c r="AE38" i="4" s="1"/>
  <c r="X38" i="4"/>
  <c r="AD38" i="4" s="1"/>
  <c r="AC38" i="4" s="1"/>
  <c r="AB37" i="4"/>
  <c r="Y37" i="4"/>
  <c r="AF37" i="4" s="1"/>
  <c r="AE37" i="4" s="1"/>
  <c r="X37" i="4"/>
  <c r="AD37" i="4" s="1"/>
  <c r="AC37" i="4" s="1"/>
  <c r="AB36" i="4"/>
  <c r="Y36" i="4"/>
  <c r="AF36" i="4" s="1"/>
  <c r="AE36" i="4" s="1"/>
  <c r="X36" i="4"/>
  <c r="AD36" i="4" s="1"/>
  <c r="AC36" i="4" s="1"/>
  <c r="AB35" i="4"/>
  <c r="Y35" i="4"/>
  <c r="AF35" i="4" s="1"/>
  <c r="AE35" i="4" s="1"/>
  <c r="X35" i="4"/>
  <c r="AD35" i="4" s="1"/>
  <c r="AB34" i="4"/>
  <c r="Y34" i="4"/>
  <c r="AF34" i="4" s="1"/>
  <c r="AE34" i="4" s="1"/>
  <c r="X34" i="4"/>
  <c r="AD34" i="4" s="1"/>
  <c r="AC34" i="4" s="1"/>
  <c r="AB33" i="4"/>
  <c r="Y33" i="4"/>
  <c r="AF33" i="4" s="1"/>
  <c r="AE33" i="4" s="1"/>
  <c r="X33" i="4"/>
  <c r="AD33" i="4" s="1"/>
  <c r="AC33" i="4" s="1"/>
  <c r="AB32" i="4"/>
  <c r="Y32" i="4"/>
  <c r="AF32" i="4" s="1"/>
  <c r="AE32" i="4" s="1"/>
  <c r="X32" i="4"/>
  <c r="AD32" i="4" s="1"/>
  <c r="AC32" i="4" s="1"/>
  <c r="AB31" i="4"/>
  <c r="Y31" i="4"/>
  <c r="AF31" i="4" s="1"/>
  <c r="AE31" i="4" s="1"/>
  <c r="X31" i="4"/>
  <c r="AD31" i="4" s="1"/>
  <c r="AC31" i="4" s="1"/>
  <c r="AB30" i="4"/>
  <c r="Y30" i="4"/>
  <c r="AF30" i="4" s="1"/>
  <c r="AE30" i="4" s="1"/>
  <c r="X30" i="4"/>
  <c r="AD30" i="4" s="1"/>
  <c r="AC30" i="4" s="1"/>
  <c r="AB29" i="4"/>
  <c r="Y29" i="4"/>
  <c r="AF29" i="4" s="1"/>
  <c r="X29" i="4"/>
  <c r="AD29" i="4" s="1"/>
  <c r="AC29" i="4" s="1"/>
  <c r="AB28" i="4"/>
  <c r="Y28" i="4"/>
  <c r="AF28" i="4" s="1"/>
  <c r="AE28" i="4" s="1"/>
  <c r="X28" i="4"/>
  <c r="AD28" i="4" s="1"/>
  <c r="AB27" i="4"/>
  <c r="Y27" i="4"/>
  <c r="AF27" i="4" s="1"/>
  <c r="AE27" i="4" s="1"/>
  <c r="X27" i="4"/>
  <c r="AD27" i="4" s="1"/>
  <c r="AB26" i="4"/>
  <c r="Y26" i="4"/>
  <c r="AF26" i="4" s="1"/>
  <c r="AE26" i="4" s="1"/>
  <c r="X26" i="4"/>
  <c r="AD26" i="4" s="1"/>
  <c r="AC26" i="4" s="1"/>
  <c r="AB25" i="4"/>
  <c r="Y25" i="4"/>
  <c r="AF25" i="4" s="1"/>
  <c r="AE25" i="4" s="1"/>
  <c r="X25" i="4"/>
  <c r="AD25" i="4" s="1"/>
  <c r="AC25" i="4" s="1"/>
  <c r="AB24" i="4"/>
  <c r="Y24" i="4"/>
  <c r="AF24" i="4" s="1"/>
  <c r="AE24" i="4" s="1"/>
  <c r="X24" i="4"/>
  <c r="AD24" i="4" s="1"/>
  <c r="AC24" i="4" s="1"/>
  <c r="AB23" i="4"/>
  <c r="Y23" i="4"/>
  <c r="AF23" i="4" s="1"/>
  <c r="AE23" i="4" s="1"/>
  <c r="X23" i="4"/>
  <c r="AD23" i="4" s="1"/>
  <c r="AB22" i="4"/>
  <c r="Y22" i="4"/>
  <c r="AF22" i="4" s="1"/>
  <c r="AE22" i="4" s="1"/>
  <c r="X22" i="4"/>
  <c r="AD22" i="4" s="1"/>
  <c r="AC22" i="4" s="1"/>
  <c r="AB21" i="4"/>
  <c r="Y21" i="4"/>
  <c r="AF21" i="4" s="1"/>
  <c r="AE21" i="4" s="1"/>
  <c r="X21" i="4"/>
  <c r="AD21" i="4" s="1"/>
  <c r="AC21" i="4" s="1"/>
  <c r="AE20" i="4"/>
  <c r="AB20" i="4"/>
  <c r="Y20" i="4"/>
  <c r="AF20" i="4" s="1"/>
  <c r="X20" i="4"/>
  <c r="AD20" i="4" s="1"/>
  <c r="AC20" i="4" s="1"/>
  <c r="AB19" i="4"/>
  <c r="Y19" i="4"/>
  <c r="AF19" i="4" s="1"/>
  <c r="AE19" i="4" s="1"/>
  <c r="X19" i="4"/>
  <c r="AD19" i="4" s="1"/>
  <c r="AB18" i="4"/>
  <c r="Y18" i="4"/>
  <c r="AF18" i="4" s="1"/>
  <c r="AE18" i="4" s="1"/>
  <c r="X18" i="4"/>
  <c r="AD18" i="4" s="1"/>
  <c r="AB17" i="4"/>
  <c r="Y17" i="4"/>
  <c r="AF17" i="4" s="1"/>
  <c r="AE17" i="4" s="1"/>
  <c r="X17" i="4"/>
  <c r="AD17" i="4" s="1"/>
  <c r="AC17" i="4" s="1"/>
  <c r="AB16" i="4"/>
  <c r="Y16" i="4"/>
  <c r="AF16" i="4" s="1"/>
  <c r="AE16" i="4" s="1"/>
  <c r="X16" i="4"/>
  <c r="AD16" i="4" s="1"/>
  <c r="AB15" i="4"/>
  <c r="Y15" i="4"/>
  <c r="AF15" i="4" s="1"/>
  <c r="AE15" i="4" s="1"/>
  <c r="X15" i="4"/>
  <c r="AD15" i="4" s="1"/>
  <c r="AC15" i="4" s="1"/>
  <c r="AB14" i="4"/>
  <c r="Y14" i="4"/>
  <c r="AF14" i="4" s="1"/>
  <c r="AE14" i="4" s="1"/>
  <c r="X14" i="4"/>
  <c r="AD14" i="4" s="1"/>
  <c r="AC14" i="4" s="1"/>
  <c r="AB13" i="4"/>
  <c r="Y13" i="4"/>
  <c r="AF13" i="4" s="1"/>
  <c r="X13" i="4"/>
  <c r="AD13" i="4" s="1"/>
  <c r="AC13" i="4" s="1"/>
  <c r="AB12" i="4"/>
  <c r="Y12" i="4"/>
  <c r="AF12" i="4" s="1"/>
  <c r="AE12" i="4" s="1"/>
  <c r="X12" i="4"/>
  <c r="AD12" i="4" s="1"/>
  <c r="AB11" i="4"/>
  <c r="Y11" i="4"/>
  <c r="AF11" i="4" s="1"/>
  <c r="AE11" i="4" s="1"/>
  <c r="X11" i="4"/>
  <c r="AD11" i="4" s="1"/>
  <c r="AC11" i="4" s="1"/>
  <c r="AB10" i="4"/>
  <c r="Y10" i="4"/>
  <c r="AF10" i="4" s="1"/>
  <c r="AE10" i="4" s="1"/>
  <c r="X10" i="4"/>
  <c r="AD10" i="4" s="1"/>
  <c r="AC10" i="4" s="1"/>
  <c r="AB9" i="4"/>
  <c r="Y9" i="4"/>
  <c r="AF9" i="4" s="1"/>
  <c r="AE9" i="4" s="1"/>
  <c r="X9" i="4"/>
  <c r="AD9" i="4" s="1"/>
  <c r="AC9" i="4" s="1"/>
  <c r="AF8" i="4"/>
  <c r="AE8" i="4" s="1"/>
  <c r="AB8" i="4"/>
  <c r="Y8" i="4"/>
  <c r="X8" i="4"/>
  <c r="AD8" i="4" s="1"/>
  <c r="AC8" i="4" s="1"/>
  <c r="AB7" i="4"/>
  <c r="Y7" i="4"/>
  <c r="AF7" i="4" s="1"/>
  <c r="AE7" i="4" s="1"/>
  <c r="X7" i="4"/>
  <c r="AD7" i="4" s="1"/>
  <c r="AC7" i="4" s="1"/>
  <c r="AB6" i="4"/>
  <c r="Y6" i="4"/>
  <c r="AF6" i="4" s="1"/>
  <c r="AE6" i="4" s="1"/>
  <c r="X6" i="4"/>
  <c r="AD6" i="4" s="1"/>
  <c r="AC6" i="4" s="1"/>
  <c r="AB5" i="4"/>
  <c r="Y5" i="4"/>
  <c r="AF5" i="4" s="1"/>
  <c r="AE5" i="4" s="1"/>
  <c r="X5" i="4"/>
  <c r="AD5" i="4" s="1"/>
  <c r="AC5" i="4" s="1"/>
  <c r="D20" i="1"/>
  <c r="B17" i="1"/>
  <c r="D15" i="1"/>
  <c r="D14" i="1"/>
  <c r="S2" i="1"/>
  <c r="AH152" i="4" l="1"/>
  <c r="F152" i="4" s="1"/>
  <c r="AK12" i="4"/>
  <c r="Q12" i="4" s="1"/>
  <c r="AI106" i="4"/>
  <c r="G106" i="4" s="1"/>
  <c r="M12" i="4"/>
  <c r="I12" i="4"/>
  <c r="AH5" i="4"/>
  <c r="N5" i="4" s="1"/>
  <c r="AH34" i="4"/>
  <c r="F34" i="4" s="1"/>
  <c r="AH14" i="4"/>
  <c r="F14" i="4" s="1"/>
  <c r="AJ20" i="4"/>
  <c r="AK148" i="4"/>
  <c r="M148" i="4" s="1"/>
  <c r="AH50" i="4"/>
  <c r="F50" i="4" s="1"/>
  <c r="AH31" i="4"/>
  <c r="F31" i="4" s="1"/>
  <c r="AI100" i="4"/>
  <c r="G100" i="4" s="1"/>
  <c r="AJ154" i="4"/>
  <c r="L154" i="4" s="1"/>
  <c r="AJ52" i="4"/>
  <c r="P52" i="4" s="1"/>
  <c r="AI43" i="4"/>
  <c r="O43" i="4" s="1"/>
  <c r="AH136" i="4"/>
  <c r="AK70" i="4"/>
  <c r="J50" i="4"/>
  <c r="N152" i="4"/>
  <c r="J152" i="4"/>
  <c r="O106" i="4"/>
  <c r="N31" i="4"/>
  <c r="AK34" i="4"/>
  <c r="AH138" i="4"/>
  <c r="F138" i="4" s="1"/>
  <c r="AK150" i="4"/>
  <c r="AK47" i="4"/>
  <c r="AI49" i="4"/>
  <c r="G49" i="4" s="1"/>
  <c r="AK108" i="4"/>
  <c r="AI161" i="4"/>
  <c r="G161" i="4" s="1"/>
  <c r="AK28" i="4"/>
  <c r="AK60" i="4"/>
  <c r="AJ147" i="4"/>
  <c r="H147" i="4" s="1"/>
  <c r="AK13" i="4"/>
  <c r="AK15" i="4"/>
  <c r="AI121" i="4"/>
  <c r="G121" i="4" s="1"/>
  <c r="AH168" i="4"/>
  <c r="F168" i="4" s="1"/>
  <c r="AK172" i="4"/>
  <c r="AH87" i="4"/>
  <c r="F87" i="4" s="1"/>
  <c r="AJ87" i="4"/>
  <c r="H87" i="4" s="1"/>
  <c r="J136" i="4"/>
  <c r="AH113" i="4"/>
  <c r="F113" i="4" s="1"/>
  <c r="AJ115" i="4"/>
  <c r="H115" i="4" s="1"/>
  <c r="AK111" i="4"/>
  <c r="AI42" i="4"/>
  <c r="G42" i="4" s="1"/>
  <c r="AK103" i="4"/>
  <c r="AH107" i="4"/>
  <c r="F107" i="4" s="1"/>
  <c r="AK146" i="4"/>
  <c r="AK124" i="4"/>
  <c r="AC124" i="4"/>
  <c r="AH124" i="4" s="1"/>
  <c r="F124" i="4" s="1"/>
  <c r="AC27" i="4"/>
  <c r="AH27" i="4" s="1"/>
  <c r="F27" i="4" s="1"/>
  <c r="AI27" i="4"/>
  <c r="G27" i="4" s="1"/>
  <c r="AI67" i="4"/>
  <c r="G67" i="4" s="1"/>
  <c r="AC163" i="4"/>
  <c r="AJ163" i="4" s="1"/>
  <c r="H163" i="4" s="1"/>
  <c r="AK163" i="4"/>
  <c r="AC123" i="4"/>
  <c r="AJ123" i="4" s="1"/>
  <c r="H123" i="4" s="1"/>
  <c r="AK123" i="4"/>
  <c r="AC99" i="4"/>
  <c r="AJ99" i="4" s="1"/>
  <c r="H99" i="4" s="1"/>
  <c r="AK99" i="4"/>
  <c r="AK26" i="4"/>
  <c r="AJ39" i="4"/>
  <c r="H39" i="4" s="1"/>
  <c r="AH39" i="4"/>
  <c r="F39" i="4" s="1"/>
  <c r="AC85" i="4"/>
  <c r="AH85" i="4" s="1"/>
  <c r="F85" i="4" s="1"/>
  <c r="AK85" i="4"/>
  <c r="AK147" i="4"/>
  <c r="AC81" i="4"/>
  <c r="AH81" i="4" s="1"/>
  <c r="F81" i="4" s="1"/>
  <c r="AK81" i="4"/>
  <c r="AJ24" i="4"/>
  <c r="H24" i="4" s="1"/>
  <c r="AH164" i="4"/>
  <c r="F164" i="4" s="1"/>
  <c r="AI105" i="4"/>
  <c r="G105" i="4" s="1"/>
  <c r="AJ140" i="4"/>
  <c r="H140" i="4" s="1"/>
  <c r="AK162" i="4"/>
  <c r="AI92" i="4"/>
  <c r="G92" i="4" s="1"/>
  <c r="AJ138" i="4"/>
  <c r="H138" i="4" s="1"/>
  <c r="AH140" i="4"/>
  <c r="F140" i="4" s="1"/>
  <c r="AK164" i="4"/>
  <c r="AK29" i="4"/>
  <c r="AJ45" i="4"/>
  <c r="H45" i="4" s="1"/>
  <c r="AH94" i="4"/>
  <c r="F94" i="4" s="1"/>
  <c r="AK149" i="4"/>
  <c r="AK166" i="4"/>
  <c r="AJ13" i="4"/>
  <c r="H13" i="4" s="1"/>
  <c r="AK64" i="4"/>
  <c r="AK120" i="4"/>
  <c r="AI122" i="4"/>
  <c r="G122" i="4" s="1"/>
  <c r="AK140" i="4"/>
  <c r="AI84" i="4"/>
  <c r="G84" i="4" s="1"/>
  <c r="AJ26" i="4"/>
  <c r="H26" i="4" s="1"/>
  <c r="AH64" i="4"/>
  <c r="F64" i="4" s="1"/>
  <c r="AK83" i="4"/>
  <c r="AH6" i="4"/>
  <c r="F6" i="4" s="1"/>
  <c r="AJ8" i="4"/>
  <c r="H8" i="4" s="1"/>
  <c r="AK17" i="4"/>
  <c r="AK68" i="4"/>
  <c r="AH120" i="4"/>
  <c r="F120" i="4" s="1"/>
  <c r="AJ124" i="4"/>
  <c r="H124" i="4" s="1"/>
  <c r="AK33" i="4"/>
  <c r="AJ10" i="4"/>
  <c r="H10" i="4" s="1"/>
  <c r="AH8" i="4"/>
  <c r="F8" i="4" s="1"/>
  <c r="AH15" i="4"/>
  <c r="F15" i="4" s="1"/>
  <c r="AK45" i="4"/>
  <c r="AI59" i="4"/>
  <c r="G59" i="4" s="1"/>
  <c r="AI113" i="4"/>
  <c r="G113" i="4" s="1"/>
  <c r="AI163" i="4"/>
  <c r="G163" i="4" s="1"/>
  <c r="AK31" i="4"/>
  <c r="AH54" i="4"/>
  <c r="F54" i="4" s="1"/>
  <c r="AJ30" i="4"/>
  <c r="H30" i="4" s="1"/>
  <c r="AJ36" i="4"/>
  <c r="H36" i="4" s="1"/>
  <c r="AH91" i="4"/>
  <c r="F91" i="4" s="1"/>
  <c r="AI40" i="4"/>
  <c r="G40" i="4" s="1"/>
  <c r="AK61" i="4"/>
  <c r="AJ89" i="4"/>
  <c r="H89" i="4" s="1"/>
  <c r="AC106" i="4"/>
  <c r="AJ106" i="4" s="1"/>
  <c r="H106" i="4" s="1"/>
  <c r="AK10" i="4"/>
  <c r="AK18" i="4"/>
  <c r="AH61" i="4"/>
  <c r="F61" i="4" s="1"/>
  <c r="AK89" i="4"/>
  <c r="AK141" i="4"/>
  <c r="AI145" i="4"/>
  <c r="G145" i="4" s="1"/>
  <c r="AK93" i="4"/>
  <c r="AK126" i="4"/>
  <c r="AK156" i="4"/>
  <c r="AH22" i="4"/>
  <c r="F22" i="4" s="1"/>
  <c r="AI87" i="4"/>
  <c r="G87" i="4" s="1"/>
  <c r="AJ93" i="4"/>
  <c r="H93" i="4" s="1"/>
  <c r="AI147" i="4"/>
  <c r="G147" i="4" s="1"/>
  <c r="AH156" i="4"/>
  <c r="F156" i="4" s="1"/>
  <c r="AK92" i="4"/>
  <c r="AI16" i="4"/>
  <c r="G16" i="4" s="1"/>
  <c r="AH24" i="4"/>
  <c r="F24" i="4" s="1"/>
  <c r="AK95" i="4"/>
  <c r="AK132" i="4"/>
  <c r="AJ7" i="4"/>
  <c r="H7" i="4" s="1"/>
  <c r="AI138" i="4"/>
  <c r="G138" i="4" s="1"/>
  <c r="AI35" i="4"/>
  <c r="G35" i="4" s="1"/>
  <c r="AK35" i="4"/>
  <c r="AC35" i="4"/>
  <c r="AI19" i="4"/>
  <c r="G19" i="4" s="1"/>
  <c r="AK19" i="4"/>
  <c r="AC19" i="4"/>
  <c r="AC23" i="4"/>
  <c r="AI23" i="4"/>
  <c r="G23" i="4" s="1"/>
  <c r="AH11" i="4"/>
  <c r="F11" i="4" s="1"/>
  <c r="AK11" i="4"/>
  <c r="AJ11" i="4"/>
  <c r="H11" i="4" s="1"/>
  <c r="AC55" i="4"/>
  <c r="AI55" i="4"/>
  <c r="G55" i="4" s="1"/>
  <c r="AI52" i="4"/>
  <c r="G52" i="4" s="1"/>
  <c r="AH59" i="4"/>
  <c r="F59" i="4" s="1"/>
  <c r="AC78" i="4"/>
  <c r="AI78" i="4"/>
  <c r="G78" i="4" s="1"/>
  <c r="AH7" i="4"/>
  <c r="F7" i="4" s="1"/>
  <c r="AI8" i="4"/>
  <c r="G8" i="4" s="1"/>
  <c r="AK9" i="4"/>
  <c r="AI10" i="4"/>
  <c r="G10" i="4" s="1"/>
  <c r="AK14" i="4"/>
  <c r="AI14" i="4"/>
  <c r="G14" i="4" s="1"/>
  <c r="AJ15" i="4"/>
  <c r="H15" i="4" s="1"/>
  <c r="AH104" i="4"/>
  <c r="F104" i="4" s="1"/>
  <c r="AJ108" i="4"/>
  <c r="H108" i="4" s="1"/>
  <c r="AH108" i="4"/>
  <c r="F108" i="4" s="1"/>
  <c r="AK73" i="4"/>
  <c r="AI73" i="4"/>
  <c r="G73" i="4" s="1"/>
  <c r="AC73" i="4"/>
  <c r="AK46" i="4"/>
  <c r="AI46" i="4"/>
  <c r="G46" i="4" s="1"/>
  <c r="AK53" i="4"/>
  <c r="AJ53" i="4"/>
  <c r="H53" i="4" s="1"/>
  <c r="AI53" i="4"/>
  <c r="G53" i="4" s="1"/>
  <c r="AH53" i="4"/>
  <c r="F53" i="4" s="1"/>
  <c r="AK69" i="4"/>
  <c r="AI69" i="4"/>
  <c r="G69" i="4" s="1"/>
  <c r="AC69" i="4"/>
  <c r="AH69" i="4" s="1"/>
  <c r="F69" i="4" s="1"/>
  <c r="AI7" i="4"/>
  <c r="AI11" i="4"/>
  <c r="G11" i="4" s="1"/>
  <c r="AE13" i="4"/>
  <c r="AH13" i="4" s="1"/>
  <c r="F13" i="4" s="1"/>
  <c r="AC16" i="4"/>
  <c r="AJ16" i="4" s="1"/>
  <c r="H16" i="4" s="1"/>
  <c r="AK16" i="4"/>
  <c r="AI18" i="4"/>
  <c r="G18" i="4" s="1"/>
  <c r="AI20" i="4"/>
  <c r="G20" i="4" s="1"/>
  <c r="AH20" i="4"/>
  <c r="F20" i="4" s="1"/>
  <c r="AK20" i="4"/>
  <c r="AH43" i="4"/>
  <c r="F43" i="4" s="1"/>
  <c r="AK43" i="4"/>
  <c r="AJ43" i="4"/>
  <c r="H43" i="4" s="1"/>
  <c r="AI44" i="4"/>
  <c r="G44" i="4" s="1"/>
  <c r="AC44" i="4"/>
  <c r="AJ44" i="4" s="1"/>
  <c r="H44" i="4" s="1"/>
  <c r="AI51" i="4"/>
  <c r="G51" i="4" s="1"/>
  <c r="AC51" i="4"/>
  <c r="AJ51" i="4" s="1"/>
  <c r="H51" i="4" s="1"/>
  <c r="AJ125" i="4"/>
  <c r="H125" i="4" s="1"/>
  <c r="AH125" i="4"/>
  <c r="F125" i="4" s="1"/>
  <c r="AC129" i="4"/>
  <c r="AH129" i="4" s="1"/>
  <c r="F129" i="4" s="1"/>
  <c r="AI129" i="4"/>
  <c r="G129" i="4" s="1"/>
  <c r="AI12" i="4"/>
  <c r="G12" i="4" s="1"/>
  <c r="AC12" i="4"/>
  <c r="AJ12" i="4" s="1"/>
  <c r="H12" i="4" s="1"/>
  <c r="AC18" i="4"/>
  <c r="AH18" i="4" s="1"/>
  <c r="F18" i="4" s="1"/>
  <c r="AK44" i="4"/>
  <c r="AC46" i="4"/>
  <c r="AK58" i="4"/>
  <c r="AC58" i="4"/>
  <c r="AJ58" i="4" s="1"/>
  <c r="H58" i="4" s="1"/>
  <c r="AJ14" i="4"/>
  <c r="H14" i="4" s="1"/>
  <c r="AH17" i="4"/>
  <c r="F17" i="4" s="1"/>
  <c r="AK21" i="4"/>
  <c r="AJ21" i="4"/>
  <c r="H21" i="4" s="1"/>
  <c r="AI21" i="4"/>
  <c r="G21" i="4" s="1"/>
  <c r="AH21" i="4"/>
  <c r="F21" i="4" s="1"/>
  <c r="AK22" i="4"/>
  <c r="AH26" i="4"/>
  <c r="F26" i="4" s="1"/>
  <c r="AC41" i="4"/>
  <c r="AJ41" i="4" s="1"/>
  <c r="H41" i="4" s="1"/>
  <c r="AK41" i="4"/>
  <c r="AH42" i="4"/>
  <c r="F42" i="4" s="1"/>
  <c r="AC63" i="4"/>
  <c r="AJ63" i="4" s="1"/>
  <c r="H63" i="4" s="1"/>
  <c r="AK63" i="4"/>
  <c r="AK72" i="4"/>
  <c r="AC72" i="4"/>
  <c r="AH72" i="4" s="1"/>
  <c r="F72" i="4" s="1"/>
  <c r="AI25" i="4"/>
  <c r="G25" i="4" s="1"/>
  <c r="AH25" i="4"/>
  <c r="F25" i="4" s="1"/>
  <c r="AK51" i="4"/>
  <c r="AI58" i="4"/>
  <c r="G58" i="4" s="1"/>
  <c r="AI82" i="4"/>
  <c r="G82" i="4" s="1"/>
  <c r="AC82" i="4"/>
  <c r="AJ82" i="4" s="1"/>
  <c r="H82" i="4" s="1"/>
  <c r="AK82" i="4"/>
  <c r="AC157" i="4"/>
  <c r="AH157" i="4" s="1"/>
  <c r="F157" i="4" s="1"/>
  <c r="AI157" i="4"/>
  <c r="G157" i="4" s="1"/>
  <c r="AJ9" i="4"/>
  <c r="H9" i="4" s="1"/>
  <c r="AK40" i="4"/>
  <c r="AC40" i="4"/>
  <c r="AI17" i="4"/>
  <c r="G17" i="4" s="1"/>
  <c r="AJ17" i="4"/>
  <c r="H17" i="4" s="1"/>
  <c r="AK23" i="4"/>
  <c r="AK27" i="4"/>
  <c r="AJ29" i="4"/>
  <c r="H29" i="4" s="1"/>
  <c r="AI41" i="4"/>
  <c r="G41" i="4" s="1"/>
  <c r="AK76" i="4"/>
  <c r="AC76" i="4"/>
  <c r="AH76" i="4" s="1"/>
  <c r="F76" i="4" s="1"/>
  <c r="AC97" i="4"/>
  <c r="AH97" i="4" s="1"/>
  <c r="F97" i="4" s="1"/>
  <c r="AI97" i="4"/>
  <c r="G97" i="4" s="1"/>
  <c r="AI15" i="4"/>
  <c r="G15" i="4" s="1"/>
  <c r="AJ25" i="4"/>
  <c r="H25" i="4" s="1"/>
  <c r="AI28" i="4"/>
  <c r="G28" i="4" s="1"/>
  <c r="AC28" i="4"/>
  <c r="AJ28" i="4" s="1"/>
  <c r="H28" i="4" s="1"/>
  <c r="AI36" i="4"/>
  <c r="G36" i="4" s="1"/>
  <c r="AH36" i="4"/>
  <c r="F36" i="4" s="1"/>
  <c r="AK36" i="4"/>
  <c r="AK37" i="4"/>
  <c r="AJ37" i="4"/>
  <c r="H37" i="4" s="1"/>
  <c r="AI37" i="4"/>
  <c r="G37" i="4" s="1"/>
  <c r="AH37" i="4"/>
  <c r="F37" i="4" s="1"/>
  <c r="AK38" i="4"/>
  <c r="AK42" i="4"/>
  <c r="AE68" i="4"/>
  <c r="AK24" i="4"/>
  <c r="AJ42" i="4"/>
  <c r="H42" i="4" s="1"/>
  <c r="AJ57" i="4"/>
  <c r="H57" i="4" s="1"/>
  <c r="AI24" i="4"/>
  <c r="G24" i="4" s="1"/>
  <c r="AK25" i="4"/>
  <c r="AI26" i="4"/>
  <c r="G26" i="4" s="1"/>
  <c r="AK30" i="4"/>
  <c r="AI30" i="4"/>
  <c r="G30" i="4" s="1"/>
  <c r="AJ31" i="4"/>
  <c r="H31" i="4" s="1"/>
  <c r="AH38" i="4"/>
  <c r="F38" i="4" s="1"/>
  <c r="AK39" i="4"/>
  <c r="AK50" i="4"/>
  <c r="AJ50" i="4"/>
  <c r="H50" i="4" s="1"/>
  <c r="AI50" i="4"/>
  <c r="G50" i="4" s="1"/>
  <c r="AK57" i="4"/>
  <c r="AJ71" i="4"/>
  <c r="H71" i="4" s="1"/>
  <c r="AH71" i="4"/>
  <c r="F71" i="4" s="1"/>
  <c r="AE29" i="4"/>
  <c r="AI29" i="4" s="1"/>
  <c r="G29" i="4" s="1"/>
  <c r="AH32" i="4"/>
  <c r="F32" i="4" s="1"/>
  <c r="AJ34" i="4"/>
  <c r="H34" i="4" s="1"/>
  <c r="AI34" i="4"/>
  <c r="G34" i="4" s="1"/>
  <c r="AK49" i="4"/>
  <c r="AC49" i="4"/>
  <c r="AK56" i="4"/>
  <c r="AI56" i="4"/>
  <c r="G56" i="4" s="1"/>
  <c r="AC56" i="4"/>
  <c r="AC62" i="4"/>
  <c r="AH62" i="4" s="1"/>
  <c r="F62" i="4" s="1"/>
  <c r="AI62" i="4"/>
  <c r="G62" i="4" s="1"/>
  <c r="AC75" i="4"/>
  <c r="AK75" i="4"/>
  <c r="AE80" i="4"/>
  <c r="AI80" i="4" s="1"/>
  <c r="G80" i="4" s="1"/>
  <c r="AK80" i="4"/>
  <c r="AK32" i="4"/>
  <c r="AH33" i="4"/>
  <c r="F33" i="4" s="1"/>
  <c r="AI39" i="4"/>
  <c r="G39" i="4" s="1"/>
  <c r="AK66" i="4"/>
  <c r="AK6" i="4"/>
  <c r="AI33" i="4"/>
  <c r="G33" i="4" s="1"/>
  <c r="AC48" i="4"/>
  <c r="AI48" i="4"/>
  <c r="G48" i="4" s="1"/>
  <c r="AC65" i="4"/>
  <c r="AH65" i="4" s="1"/>
  <c r="F65" i="4" s="1"/>
  <c r="AK65" i="4"/>
  <c r="AI65" i="4"/>
  <c r="G65" i="4" s="1"/>
  <c r="AJ80" i="4"/>
  <c r="H80" i="4" s="1"/>
  <c r="AC86" i="4"/>
  <c r="AK86" i="4"/>
  <c r="AI86" i="4"/>
  <c r="G86" i="4" s="1"/>
  <c r="AH10" i="4"/>
  <c r="F10" i="4" s="1"/>
  <c r="AJ33" i="4"/>
  <c r="H33" i="4" s="1"/>
  <c r="AJ74" i="4"/>
  <c r="H74" i="4" s="1"/>
  <c r="AK5" i="4"/>
  <c r="I5" i="4" s="1"/>
  <c r="AJ5" i="4"/>
  <c r="H5" i="4" s="1"/>
  <c r="AI5" i="4"/>
  <c r="G5" i="4" s="1"/>
  <c r="AH30" i="4"/>
  <c r="F30" i="4" s="1"/>
  <c r="AI32" i="4"/>
  <c r="G32" i="4" s="1"/>
  <c r="AK7" i="4"/>
  <c r="AK8" i="4"/>
  <c r="AI9" i="4"/>
  <c r="G9" i="4" s="1"/>
  <c r="AH9" i="4"/>
  <c r="F9" i="4" s="1"/>
  <c r="AI31" i="4"/>
  <c r="G31" i="4" s="1"/>
  <c r="AJ32" i="4"/>
  <c r="H32" i="4" s="1"/>
  <c r="AI47" i="4"/>
  <c r="G47" i="4" s="1"/>
  <c r="AC47" i="4"/>
  <c r="AK48" i="4"/>
  <c r="AK54" i="4"/>
  <c r="AK55" i="4"/>
  <c r="AI74" i="4"/>
  <c r="G74" i="4" s="1"/>
  <c r="AK171" i="4"/>
  <c r="AJ171" i="4"/>
  <c r="H171" i="4" s="1"/>
  <c r="AI171" i="4"/>
  <c r="G171" i="4" s="1"/>
  <c r="AH171" i="4"/>
  <c r="F171" i="4" s="1"/>
  <c r="AK52" i="4"/>
  <c r="AH57" i="4"/>
  <c r="F57" i="4" s="1"/>
  <c r="AJ59" i="4"/>
  <c r="H59" i="4" s="1"/>
  <c r="AI60" i="4"/>
  <c r="G60" i="4" s="1"/>
  <c r="AH79" i="4"/>
  <c r="F79" i="4" s="1"/>
  <c r="AK112" i="4"/>
  <c r="AI112" i="4"/>
  <c r="G112" i="4" s="1"/>
  <c r="AC112" i="4"/>
  <c r="AH145" i="4"/>
  <c r="F145" i="4" s="1"/>
  <c r="AC166" i="4"/>
  <c r="AI166" i="4"/>
  <c r="G166" i="4" s="1"/>
  <c r="AI57" i="4"/>
  <c r="G57" i="4" s="1"/>
  <c r="AK59" i="4"/>
  <c r="AC60" i="4"/>
  <c r="AJ60" i="4" s="1"/>
  <c r="H60" i="4" s="1"/>
  <c r="AC66" i="4"/>
  <c r="AJ66" i="4" s="1"/>
  <c r="H66" i="4" s="1"/>
  <c r="AI71" i="4"/>
  <c r="G71" i="4" s="1"/>
  <c r="AI72" i="4"/>
  <c r="G72" i="4" s="1"/>
  <c r="AC83" i="4"/>
  <c r="AJ83" i="4" s="1"/>
  <c r="H83" i="4" s="1"/>
  <c r="AK97" i="4"/>
  <c r="AK119" i="4"/>
  <c r="AI119" i="4"/>
  <c r="G119" i="4" s="1"/>
  <c r="AC119" i="4"/>
  <c r="AK129" i="4"/>
  <c r="AK135" i="4"/>
  <c r="AI135" i="4"/>
  <c r="G135" i="4" s="1"/>
  <c r="AC135" i="4"/>
  <c r="AK151" i="4"/>
  <c r="AI151" i="4"/>
  <c r="G151" i="4" s="1"/>
  <c r="AC151" i="4"/>
  <c r="AH161" i="4"/>
  <c r="F161" i="4" s="1"/>
  <c r="AI170" i="4"/>
  <c r="G170" i="4" s="1"/>
  <c r="AI76" i="4"/>
  <c r="G76" i="4" s="1"/>
  <c r="AK128" i="4"/>
  <c r="AI128" i="4"/>
  <c r="G128" i="4" s="1"/>
  <c r="AC128" i="4"/>
  <c r="AK144" i="4"/>
  <c r="AC144" i="4"/>
  <c r="AH144" i="4" s="1"/>
  <c r="F144" i="4" s="1"/>
  <c r="AK155" i="4"/>
  <c r="AJ155" i="4"/>
  <c r="H155" i="4" s="1"/>
  <c r="AI155" i="4"/>
  <c r="G155" i="4" s="1"/>
  <c r="AH155" i="4"/>
  <c r="F155" i="4" s="1"/>
  <c r="AK71" i="4"/>
  <c r="AK88" i="4"/>
  <c r="AJ88" i="4"/>
  <c r="H88" i="4" s="1"/>
  <c r="AI88" i="4"/>
  <c r="G88" i="4" s="1"/>
  <c r="AH90" i="4"/>
  <c r="F90" i="4" s="1"/>
  <c r="AK90" i="4"/>
  <c r="AJ92" i="4"/>
  <c r="H92" i="4" s="1"/>
  <c r="AH92" i="4"/>
  <c r="F92" i="4" s="1"/>
  <c r="AK96" i="4"/>
  <c r="AI96" i="4"/>
  <c r="G96" i="4" s="1"/>
  <c r="AC96" i="4"/>
  <c r="AI110" i="4"/>
  <c r="G110" i="4" s="1"/>
  <c r="AC110" i="4"/>
  <c r="AK139" i="4"/>
  <c r="AJ139" i="4"/>
  <c r="H139" i="4" s="1"/>
  <c r="AI139" i="4"/>
  <c r="G139" i="4" s="1"/>
  <c r="AH139" i="4"/>
  <c r="F139" i="4" s="1"/>
  <c r="AI79" i="4"/>
  <c r="G79" i="4" s="1"/>
  <c r="AE89" i="4"/>
  <c r="AI89" i="4" s="1"/>
  <c r="G89" i="4" s="1"/>
  <c r="AK94" i="4"/>
  <c r="AJ94" i="4"/>
  <c r="H94" i="4" s="1"/>
  <c r="AI94" i="4"/>
  <c r="G94" i="4" s="1"/>
  <c r="AC150" i="4"/>
  <c r="AI150" i="4"/>
  <c r="G150" i="4" s="1"/>
  <c r="AI165" i="4"/>
  <c r="G165" i="4" s="1"/>
  <c r="AC165" i="4"/>
  <c r="AH165" i="4" s="1"/>
  <c r="F165" i="4" s="1"/>
  <c r="AK169" i="4"/>
  <c r="AC169" i="4"/>
  <c r="AJ170" i="4"/>
  <c r="H170" i="4" s="1"/>
  <c r="AI66" i="4"/>
  <c r="G66" i="4" s="1"/>
  <c r="AJ79" i="4"/>
  <c r="H79" i="4" s="1"/>
  <c r="AI83" i="4"/>
  <c r="G83" i="4" s="1"/>
  <c r="AJ91" i="4"/>
  <c r="H91" i="4" s="1"/>
  <c r="AI91" i="4"/>
  <c r="G91" i="4" s="1"/>
  <c r="AI108" i="4"/>
  <c r="G108" i="4" s="1"/>
  <c r="AK109" i="4"/>
  <c r="AK110" i="4"/>
  <c r="AC118" i="4"/>
  <c r="AK118" i="4"/>
  <c r="AI118" i="4"/>
  <c r="G118" i="4" s="1"/>
  <c r="AI126" i="4"/>
  <c r="G126" i="4" s="1"/>
  <c r="AC126" i="4"/>
  <c r="AK127" i="4"/>
  <c r="AI154" i="4"/>
  <c r="G154" i="4" s="1"/>
  <c r="AK160" i="4"/>
  <c r="AH67" i="4"/>
  <c r="F67" i="4" s="1"/>
  <c r="AK79" i="4"/>
  <c r="AK84" i="4"/>
  <c r="AJ84" i="4"/>
  <c r="H84" i="4" s="1"/>
  <c r="AH84" i="4"/>
  <c r="F84" i="4" s="1"/>
  <c r="AK87" i="4"/>
  <c r="AH88" i="4"/>
  <c r="F88" i="4" s="1"/>
  <c r="AK117" i="4"/>
  <c r="AJ134" i="4"/>
  <c r="H134" i="4" s="1"/>
  <c r="AH134" i="4"/>
  <c r="F134" i="4" s="1"/>
  <c r="AK165" i="4"/>
  <c r="AI169" i="4"/>
  <c r="G169" i="4" s="1"/>
  <c r="AI63" i="4"/>
  <c r="G63" i="4" s="1"/>
  <c r="AI90" i="4"/>
  <c r="G90" i="4" s="1"/>
  <c r="AK91" i="4"/>
  <c r="AJ105" i="4"/>
  <c r="H105" i="4" s="1"/>
  <c r="AH105" i="4"/>
  <c r="F105" i="4" s="1"/>
  <c r="AI115" i="4"/>
  <c r="G115" i="4" s="1"/>
  <c r="AH115" i="4"/>
  <c r="F115" i="4" s="1"/>
  <c r="AK116" i="4"/>
  <c r="AJ116" i="4"/>
  <c r="H116" i="4" s="1"/>
  <c r="AI116" i="4"/>
  <c r="G116" i="4" s="1"/>
  <c r="AH116" i="4"/>
  <c r="F116" i="4" s="1"/>
  <c r="AI117" i="4"/>
  <c r="G117" i="4" s="1"/>
  <c r="AC117" i="4"/>
  <c r="AH117" i="4" s="1"/>
  <c r="F117" i="4" s="1"/>
  <c r="AK133" i="4"/>
  <c r="AK143" i="4"/>
  <c r="AI149" i="4"/>
  <c r="G149" i="4" s="1"/>
  <c r="AC149" i="4"/>
  <c r="AC70" i="4"/>
  <c r="AK77" i="4"/>
  <c r="AJ90" i="4"/>
  <c r="H90" i="4" s="1"/>
  <c r="AJ107" i="4"/>
  <c r="H107" i="4" s="1"/>
  <c r="AI107" i="4"/>
  <c r="G107" i="4" s="1"/>
  <c r="AI133" i="4"/>
  <c r="G133" i="4" s="1"/>
  <c r="AC133" i="4"/>
  <c r="AH133" i="4" s="1"/>
  <c r="F133" i="4" s="1"/>
  <c r="AK153" i="4"/>
  <c r="AC153" i="4"/>
  <c r="AK159" i="4"/>
  <c r="AJ85" i="4"/>
  <c r="H85" i="4" s="1"/>
  <c r="AK114" i="4"/>
  <c r="AI114" i="4"/>
  <c r="G114" i="4" s="1"/>
  <c r="AC114" i="4"/>
  <c r="AJ114" i="4" s="1"/>
  <c r="H114" i="4" s="1"/>
  <c r="AI123" i="4"/>
  <c r="G123" i="4" s="1"/>
  <c r="AK125" i="4"/>
  <c r="AI125" i="4"/>
  <c r="G125" i="4" s="1"/>
  <c r="AJ131" i="4"/>
  <c r="H131" i="4" s="1"/>
  <c r="AI131" i="4"/>
  <c r="G131" i="4" s="1"/>
  <c r="AH131" i="4"/>
  <c r="F131" i="4" s="1"/>
  <c r="AK137" i="4"/>
  <c r="AC137" i="4"/>
  <c r="AI142" i="4"/>
  <c r="G142" i="4" s="1"/>
  <c r="AC142" i="4"/>
  <c r="AK74" i="4"/>
  <c r="AK107" i="4"/>
  <c r="AH122" i="4"/>
  <c r="F122" i="4" s="1"/>
  <c r="AJ148" i="4"/>
  <c r="H148" i="4" s="1"/>
  <c r="AI153" i="4"/>
  <c r="G153" i="4" s="1"/>
  <c r="AI158" i="4"/>
  <c r="G158" i="4" s="1"/>
  <c r="AC158" i="4"/>
  <c r="AK168" i="4"/>
  <c r="AK104" i="4"/>
  <c r="AK130" i="4"/>
  <c r="AI130" i="4"/>
  <c r="G130" i="4" s="1"/>
  <c r="AC130" i="4"/>
  <c r="AJ130" i="4" s="1"/>
  <c r="H130" i="4" s="1"/>
  <c r="AI137" i="4"/>
  <c r="G137" i="4" s="1"/>
  <c r="AK142" i="4"/>
  <c r="AI22" i="4"/>
  <c r="G22" i="4" s="1"/>
  <c r="AI38" i="4"/>
  <c r="G38" i="4" s="1"/>
  <c r="AH45" i="4"/>
  <c r="F45" i="4" s="1"/>
  <c r="AI54" i="4"/>
  <c r="G54" i="4" s="1"/>
  <c r="AI61" i="4"/>
  <c r="G61" i="4" s="1"/>
  <c r="AI64" i="4"/>
  <c r="G64" i="4" s="1"/>
  <c r="AJ67" i="4"/>
  <c r="H67" i="4" s="1"/>
  <c r="AJ68" i="4"/>
  <c r="H68" i="4" s="1"/>
  <c r="AI70" i="4"/>
  <c r="G70" i="4" s="1"/>
  <c r="AH77" i="4"/>
  <c r="F77" i="4" s="1"/>
  <c r="AK78" i="4"/>
  <c r="AK98" i="4"/>
  <c r="AI98" i="4"/>
  <c r="G98" i="4" s="1"/>
  <c r="AC98" i="4"/>
  <c r="AJ98" i="4" s="1"/>
  <c r="H98" i="4" s="1"/>
  <c r="AI99" i="4"/>
  <c r="G99" i="4" s="1"/>
  <c r="AC102" i="4"/>
  <c r="AI102" i="4"/>
  <c r="G102" i="4" s="1"/>
  <c r="AC103" i="4"/>
  <c r="AK105" i="4"/>
  <c r="AK115" i="4"/>
  <c r="AK121" i="4"/>
  <c r="AC121" i="4"/>
  <c r="AK158" i="4"/>
  <c r="AI6" i="4"/>
  <c r="G6" i="4" s="1"/>
  <c r="AJ22" i="4"/>
  <c r="H22" i="4" s="1"/>
  <c r="AJ38" i="4"/>
  <c r="H38" i="4" s="1"/>
  <c r="AI45" i="4"/>
  <c r="G45" i="4" s="1"/>
  <c r="AH52" i="4"/>
  <c r="F52" i="4" s="1"/>
  <c r="AJ54" i="4"/>
  <c r="H54" i="4" s="1"/>
  <c r="AJ61" i="4"/>
  <c r="H61" i="4" s="1"/>
  <c r="AK62" i="4"/>
  <c r="AJ64" i="4"/>
  <c r="H64" i="4" s="1"/>
  <c r="AK67" i="4"/>
  <c r="AI77" i="4"/>
  <c r="G77" i="4" s="1"/>
  <c r="AK100" i="4"/>
  <c r="AJ100" i="4"/>
  <c r="H100" i="4" s="1"/>
  <c r="AH100" i="4"/>
  <c r="F100" i="4" s="1"/>
  <c r="AK101" i="4"/>
  <c r="AI101" i="4"/>
  <c r="G101" i="4" s="1"/>
  <c r="AC101" i="4"/>
  <c r="AH101" i="4" s="1"/>
  <c r="F101" i="4" s="1"/>
  <c r="AK131" i="4"/>
  <c r="AK167" i="4"/>
  <c r="AI167" i="4"/>
  <c r="G167" i="4" s="1"/>
  <c r="AC167" i="4"/>
  <c r="AH172" i="4"/>
  <c r="F172" i="4" s="1"/>
  <c r="AJ6" i="4"/>
  <c r="H6" i="4" s="1"/>
  <c r="AH74" i="4"/>
  <c r="F74" i="4" s="1"/>
  <c r="AI75" i="4"/>
  <c r="G75" i="4" s="1"/>
  <c r="AJ77" i="4"/>
  <c r="H77" i="4" s="1"/>
  <c r="AI81" i="4"/>
  <c r="G81" i="4" s="1"/>
  <c r="AI85" i="4"/>
  <c r="G85" i="4" s="1"/>
  <c r="AK102" i="4"/>
  <c r="AI103" i="4"/>
  <c r="G103" i="4" s="1"/>
  <c r="AK113" i="4"/>
  <c r="AJ122" i="4"/>
  <c r="H122" i="4" s="1"/>
  <c r="AK136" i="4"/>
  <c r="AC141" i="4"/>
  <c r="AH141" i="4" s="1"/>
  <c r="F141" i="4" s="1"/>
  <c r="AI141" i="4"/>
  <c r="G141" i="4" s="1"/>
  <c r="AK152" i="4"/>
  <c r="AK157" i="4"/>
  <c r="AH95" i="4"/>
  <c r="F95" i="4" s="1"/>
  <c r="AI104" i="4"/>
  <c r="G104" i="4" s="1"/>
  <c r="AK106" i="4"/>
  <c r="AH111" i="4"/>
  <c r="F111" i="4" s="1"/>
  <c r="AJ113" i="4"/>
  <c r="H113" i="4" s="1"/>
  <c r="AI120" i="4"/>
  <c r="G120" i="4" s="1"/>
  <c r="AK122" i="4"/>
  <c r="AH127" i="4"/>
  <c r="F127" i="4" s="1"/>
  <c r="AI136" i="4"/>
  <c r="G136" i="4" s="1"/>
  <c r="AK138" i="4"/>
  <c r="AH143" i="4"/>
  <c r="F143" i="4" s="1"/>
  <c r="AJ145" i="4"/>
  <c r="H145" i="4" s="1"/>
  <c r="AI152" i="4"/>
  <c r="G152" i="4" s="1"/>
  <c r="AK154" i="4"/>
  <c r="AH159" i="4"/>
  <c r="F159" i="4" s="1"/>
  <c r="AJ161" i="4"/>
  <c r="H161" i="4" s="1"/>
  <c r="AI168" i="4"/>
  <c r="G168" i="4" s="1"/>
  <c r="AK170" i="4"/>
  <c r="AI95" i="4"/>
  <c r="G95" i="4" s="1"/>
  <c r="AJ104" i="4"/>
  <c r="H104" i="4" s="1"/>
  <c r="AI111" i="4"/>
  <c r="G111" i="4" s="1"/>
  <c r="AJ120" i="4"/>
  <c r="H120" i="4" s="1"/>
  <c r="AI127" i="4"/>
  <c r="G127" i="4" s="1"/>
  <c r="AJ136" i="4"/>
  <c r="H136" i="4" s="1"/>
  <c r="AI143" i="4"/>
  <c r="G143" i="4" s="1"/>
  <c r="AK145" i="4"/>
  <c r="AC146" i="4"/>
  <c r="AH146" i="4" s="1"/>
  <c r="F146" i="4" s="1"/>
  <c r="AE148" i="4"/>
  <c r="AH148" i="4" s="1"/>
  <c r="F148" i="4" s="1"/>
  <c r="AJ152" i="4"/>
  <c r="H152" i="4" s="1"/>
  <c r="AI159" i="4"/>
  <c r="G159" i="4" s="1"/>
  <c r="AK161" i="4"/>
  <c r="AC162" i="4"/>
  <c r="AH162" i="4" s="1"/>
  <c r="F162" i="4" s="1"/>
  <c r="AJ168" i="4"/>
  <c r="H168" i="4" s="1"/>
  <c r="AH93" i="4"/>
  <c r="F93" i="4" s="1"/>
  <c r="AJ95" i="4"/>
  <c r="H95" i="4" s="1"/>
  <c r="AH109" i="4"/>
  <c r="F109" i="4" s="1"/>
  <c r="AJ111" i="4"/>
  <c r="H111" i="4" s="1"/>
  <c r="AJ127" i="4"/>
  <c r="H127" i="4" s="1"/>
  <c r="AI134" i="4"/>
  <c r="G134" i="4" s="1"/>
  <c r="AJ143" i="4"/>
  <c r="H143" i="4" s="1"/>
  <c r="AJ159" i="4"/>
  <c r="H159" i="4" s="1"/>
  <c r="AI93" i="4"/>
  <c r="G93" i="4" s="1"/>
  <c r="AI109" i="4"/>
  <c r="G109" i="4" s="1"/>
  <c r="AH132" i="4"/>
  <c r="F132" i="4" s="1"/>
  <c r="AJ109" i="4"/>
  <c r="H109" i="4" s="1"/>
  <c r="AI132" i="4"/>
  <c r="G132" i="4" s="1"/>
  <c r="AK134" i="4"/>
  <c r="AI164" i="4"/>
  <c r="G164" i="4" s="1"/>
  <c r="AJ132" i="4"/>
  <c r="H132" i="4" s="1"/>
  <c r="AJ164" i="4"/>
  <c r="H164" i="4" s="1"/>
  <c r="AI146" i="4"/>
  <c r="G146" i="4" s="1"/>
  <c r="AI162" i="4"/>
  <c r="G162" i="4" s="1"/>
  <c r="AH160" i="4"/>
  <c r="F160" i="4" s="1"/>
  <c r="AI144" i="4"/>
  <c r="G144" i="4" s="1"/>
  <c r="AI160" i="4"/>
  <c r="G160" i="4" s="1"/>
  <c r="AJ160" i="4"/>
  <c r="H160" i="4" s="1"/>
  <c r="AI124" i="4"/>
  <c r="G124" i="4" s="1"/>
  <c r="AI140" i="4"/>
  <c r="G140" i="4" s="1"/>
  <c r="AH147" i="4"/>
  <c r="F147" i="4" s="1"/>
  <c r="AI156" i="4"/>
  <c r="G156" i="4" s="1"/>
  <c r="AI172" i="4"/>
  <c r="G172" i="4" s="1"/>
  <c r="AH154" i="4"/>
  <c r="F154" i="4" s="1"/>
  <c r="AJ156" i="4"/>
  <c r="H156" i="4" s="1"/>
  <c r="AH170" i="4"/>
  <c r="F170" i="4" s="1"/>
  <c r="AJ172" i="4"/>
  <c r="H172" i="4" s="1"/>
  <c r="F14" i="1"/>
  <c r="F15" i="1"/>
  <c r="E15" i="1"/>
  <c r="AH106" i="4" l="1"/>
  <c r="F106" i="4" s="1"/>
  <c r="AH66" i="4"/>
  <c r="F66" i="4" s="1"/>
  <c r="AJ27" i="4"/>
  <c r="H27" i="4" s="1"/>
  <c r="K106" i="4"/>
  <c r="N50" i="4"/>
  <c r="AJ97" i="4"/>
  <c r="H97" i="4" s="1"/>
  <c r="AH82" i="4"/>
  <c r="F82" i="4" s="1"/>
  <c r="AJ81" i="4"/>
  <c r="H81" i="4" s="1"/>
  <c r="J14" i="4"/>
  <c r="N34" i="4"/>
  <c r="AI148" i="4"/>
  <c r="G148" i="4" s="1"/>
  <c r="AH130" i="4"/>
  <c r="F130" i="4" s="1"/>
  <c r="M115" i="4"/>
  <c r="Q115" i="4"/>
  <c r="I115" i="4"/>
  <c r="M106" i="4"/>
  <c r="I106" i="4"/>
  <c r="Q106" i="4"/>
  <c r="M90" i="4"/>
  <c r="I90" i="4"/>
  <c r="Q90" i="4"/>
  <c r="M8" i="4"/>
  <c r="Q8" i="4"/>
  <c r="I8" i="4"/>
  <c r="M46" i="4"/>
  <c r="I46" i="4"/>
  <c r="Q46" i="4"/>
  <c r="AJ157" i="4"/>
  <c r="H157" i="4" s="1"/>
  <c r="M142" i="4"/>
  <c r="I142" i="4"/>
  <c r="Q142" i="4"/>
  <c r="M153" i="4"/>
  <c r="I153" i="4"/>
  <c r="Q153" i="4"/>
  <c r="M109" i="4"/>
  <c r="Q109" i="4"/>
  <c r="I109" i="4"/>
  <c r="M94" i="4"/>
  <c r="I94" i="4"/>
  <c r="Q94" i="4"/>
  <c r="AH89" i="4"/>
  <c r="F89" i="4" s="1"/>
  <c r="M30" i="4"/>
  <c r="I30" i="4"/>
  <c r="Q30" i="4"/>
  <c r="AH51" i="4"/>
  <c r="F51" i="4" s="1"/>
  <c r="M132" i="4"/>
  <c r="Q132" i="4"/>
  <c r="I132" i="4"/>
  <c r="M120" i="4"/>
  <c r="Q120" i="4"/>
  <c r="I120" i="4"/>
  <c r="K100" i="4"/>
  <c r="M70" i="4"/>
  <c r="Q70" i="4"/>
  <c r="I70" i="4"/>
  <c r="M107" i="4"/>
  <c r="Q107" i="4"/>
  <c r="I107" i="4"/>
  <c r="M157" i="4"/>
  <c r="I157" i="4"/>
  <c r="Q157" i="4"/>
  <c r="M62" i="4"/>
  <c r="I62" i="4"/>
  <c r="Q62" i="4"/>
  <c r="M137" i="4"/>
  <c r="I137" i="4"/>
  <c r="Q137" i="4"/>
  <c r="M87" i="4"/>
  <c r="Q87" i="4"/>
  <c r="I87" i="4"/>
  <c r="M49" i="4"/>
  <c r="I49" i="4"/>
  <c r="Q49" i="4"/>
  <c r="M40" i="4"/>
  <c r="Q40" i="4"/>
  <c r="I40" i="4"/>
  <c r="M95" i="4"/>
  <c r="I95" i="4"/>
  <c r="Q95" i="4"/>
  <c r="M18" i="4"/>
  <c r="I18" i="4"/>
  <c r="Q18" i="4"/>
  <c r="M64" i="4"/>
  <c r="I64" i="4"/>
  <c r="Q64" i="4"/>
  <c r="M81" i="4"/>
  <c r="Q81" i="4"/>
  <c r="I81" i="4"/>
  <c r="N136" i="4"/>
  <c r="F136" i="4"/>
  <c r="AH163" i="4"/>
  <c r="F163" i="4" s="1"/>
  <c r="M134" i="4"/>
  <c r="Q134" i="4"/>
  <c r="I134" i="4"/>
  <c r="M161" i="4"/>
  <c r="Q161" i="4"/>
  <c r="I161" i="4"/>
  <c r="M152" i="4"/>
  <c r="Q152" i="4"/>
  <c r="I152" i="4"/>
  <c r="M59" i="4"/>
  <c r="Q59" i="4"/>
  <c r="I59" i="4"/>
  <c r="M6" i="4"/>
  <c r="Q6" i="4"/>
  <c r="I6" i="4"/>
  <c r="M25" i="4"/>
  <c r="I25" i="4"/>
  <c r="Q25" i="4"/>
  <c r="M41" i="4"/>
  <c r="I41" i="4"/>
  <c r="Q41" i="4"/>
  <c r="M16" i="4"/>
  <c r="I16" i="4"/>
  <c r="Q16" i="4"/>
  <c r="M73" i="4"/>
  <c r="I73" i="4"/>
  <c r="Q73" i="4"/>
  <c r="M10" i="4"/>
  <c r="I10" i="4"/>
  <c r="Q10" i="4"/>
  <c r="M15" i="4"/>
  <c r="I15" i="4"/>
  <c r="Q15" i="4"/>
  <c r="N14" i="4"/>
  <c r="K43" i="4"/>
  <c r="G43" i="4"/>
  <c r="M88" i="4"/>
  <c r="Q88" i="4"/>
  <c r="I88" i="4"/>
  <c r="M151" i="4"/>
  <c r="Q151" i="4"/>
  <c r="I151" i="4"/>
  <c r="M171" i="4"/>
  <c r="Q171" i="4"/>
  <c r="I171" i="4"/>
  <c r="M66" i="4"/>
  <c r="I66" i="4"/>
  <c r="Q66" i="4"/>
  <c r="M33" i="4"/>
  <c r="I33" i="4"/>
  <c r="Q33" i="4"/>
  <c r="M166" i="4"/>
  <c r="Q166" i="4"/>
  <c r="I166" i="4"/>
  <c r="M147" i="4"/>
  <c r="Q147" i="4"/>
  <c r="I147" i="4"/>
  <c r="M124" i="4"/>
  <c r="Q124" i="4"/>
  <c r="I124" i="4"/>
  <c r="M13" i="4"/>
  <c r="Q13" i="4"/>
  <c r="I13" i="4"/>
  <c r="L52" i="4"/>
  <c r="H52" i="4"/>
  <c r="M165" i="4"/>
  <c r="Q165" i="4"/>
  <c r="I165" i="4"/>
  <c r="M84" i="4"/>
  <c r="I84" i="4"/>
  <c r="Q84" i="4"/>
  <c r="M11" i="4"/>
  <c r="Q11" i="4"/>
  <c r="I11" i="4"/>
  <c r="M92" i="4"/>
  <c r="Q92" i="4"/>
  <c r="I92" i="4"/>
  <c r="M149" i="4"/>
  <c r="Q149" i="4"/>
  <c r="I149" i="4"/>
  <c r="M85" i="4"/>
  <c r="I85" i="4"/>
  <c r="Q85" i="4"/>
  <c r="M146" i="4"/>
  <c r="I146" i="4"/>
  <c r="Q146" i="4"/>
  <c r="P154" i="4"/>
  <c r="H154" i="4"/>
  <c r="M154" i="4"/>
  <c r="I154" i="4"/>
  <c r="Q154" i="4"/>
  <c r="M79" i="4"/>
  <c r="I79" i="4"/>
  <c r="Q79" i="4"/>
  <c r="M82" i="4"/>
  <c r="I82" i="4"/>
  <c r="Q82" i="4"/>
  <c r="M61" i="4"/>
  <c r="Q61" i="4"/>
  <c r="I61" i="4"/>
  <c r="M60" i="4"/>
  <c r="Q60" i="4"/>
  <c r="I60" i="4"/>
  <c r="M130" i="4"/>
  <c r="I130" i="4"/>
  <c r="Q130" i="4"/>
  <c r="M55" i="4"/>
  <c r="Q55" i="4"/>
  <c r="I55" i="4"/>
  <c r="M22" i="4"/>
  <c r="Q22" i="4"/>
  <c r="I22" i="4"/>
  <c r="M168" i="4"/>
  <c r="Q168" i="4"/>
  <c r="I168" i="4"/>
  <c r="M125" i="4"/>
  <c r="Q125" i="4"/>
  <c r="I125" i="4"/>
  <c r="M139" i="4"/>
  <c r="Q139" i="4"/>
  <c r="I139" i="4"/>
  <c r="M135" i="4"/>
  <c r="Q135" i="4"/>
  <c r="I135" i="4"/>
  <c r="M54" i="4"/>
  <c r="Q54" i="4"/>
  <c r="I54" i="4"/>
  <c r="M32" i="4"/>
  <c r="I32" i="4"/>
  <c r="Q32" i="4"/>
  <c r="M24" i="4"/>
  <c r="Q24" i="4"/>
  <c r="I24" i="4"/>
  <c r="O7" i="4"/>
  <c r="G7" i="4"/>
  <c r="M68" i="4"/>
  <c r="I68" i="4"/>
  <c r="Q68" i="4"/>
  <c r="M103" i="4"/>
  <c r="Q103" i="4"/>
  <c r="I103" i="4"/>
  <c r="M28" i="4"/>
  <c r="Q28" i="4"/>
  <c r="I28" i="4"/>
  <c r="J34" i="4"/>
  <c r="M122" i="4"/>
  <c r="I122" i="4"/>
  <c r="Q122" i="4"/>
  <c r="M167" i="4"/>
  <c r="Q167" i="4"/>
  <c r="I167" i="4"/>
  <c r="M116" i="4"/>
  <c r="I116" i="4"/>
  <c r="Q116" i="4"/>
  <c r="M98" i="4"/>
  <c r="I98" i="4"/>
  <c r="Q98" i="4"/>
  <c r="M78" i="4"/>
  <c r="I78" i="4"/>
  <c r="Q78" i="4"/>
  <c r="M17" i="4"/>
  <c r="I17" i="4"/>
  <c r="Q17" i="4"/>
  <c r="M29" i="4"/>
  <c r="I29" i="4"/>
  <c r="Q29" i="4"/>
  <c r="M131" i="4"/>
  <c r="Q131" i="4"/>
  <c r="I131" i="4"/>
  <c r="M71" i="4"/>
  <c r="Q71" i="4"/>
  <c r="I71" i="4"/>
  <c r="M136" i="4"/>
  <c r="Q136" i="4"/>
  <c r="I136" i="4"/>
  <c r="M138" i="4"/>
  <c r="I138" i="4"/>
  <c r="Q138" i="4"/>
  <c r="M101" i="4"/>
  <c r="I101" i="4"/>
  <c r="Q101" i="4"/>
  <c r="AJ76" i="4"/>
  <c r="H76" i="4" s="1"/>
  <c r="M91" i="4"/>
  <c r="Q91" i="4"/>
  <c r="I91" i="4"/>
  <c r="M155" i="4"/>
  <c r="Q155" i="4"/>
  <c r="I155" i="4"/>
  <c r="M57" i="4"/>
  <c r="Q57" i="4"/>
  <c r="I57" i="4"/>
  <c r="M42" i="4"/>
  <c r="I42" i="4"/>
  <c r="Q42" i="4"/>
  <c r="M76" i="4"/>
  <c r="Q76" i="4"/>
  <c r="I76" i="4"/>
  <c r="M14" i="4"/>
  <c r="I14" i="4"/>
  <c r="Q14" i="4"/>
  <c r="M164" i="4"/>
  <c r="I164" i="4"/>
  <c r="Q164" i="4"/>
  <c r="M26" i="4"/>
  <c r="I26" i="4"/>
  <c r="Q26" i="4"/>
  <c r="I111" i="4"/>
  <c r="Q111" i="4"/>
  <c r="M108" i="4"/>
  <c r="Q108" i="4"/>
  <c r="I108" i="4"/>
  <c r="J31" i="4"/>
  <c r="I148" i="4"/>
  <c r="Q148" i="4"/>
  <c r="M104" i="4"/>
  <c r="Q104" i="4"/>
  <c r="I104" i="4"/>
  <c r="M145" i="4"/>
  <c r="I145" i="4"/>
  <c r="Q145" i="4"/>
  <c r="M113" i="4"/>
  <c r="I113" i="4"/>
  <c r="Q113" i="4"/>
  <c r="AH123" i="4"/>
  <c r="F123" i="4" s="1"/>
  <c r="M77" i="4"/>
  <c r="I77" i="4"/>
  <c r="Q77" i="4"/>
  <c r="M160" i="4"/>
  <c r="I160" i="4"/>
  <c r="Q160" i="4"/>
  <c r="M129" i="4"/>
  <c r="I129" i="4"/>
  <c r="Q129" i="4"/>
  <c r="M48" i="4"/>
  <c r="I48" i="4"/>
  <c r="Q48" i="4"/>
  <c r="M80" i="4"/>
  <c r="I80" i="4"/>
  <c r="Q80" i="4"/>
  <c r="M102" i="4"/>
  <c r="Q102" i="4"/>
  <c r="I102" i="4"/>
  <c r="M158" i="4"/>
  <c r="I158" i="4"/>
  <c r="Q158" i="4"/>
  <c r="M127" i="4"/>
  <c r="I127" i="4"/>
  <c r="Q127" i="4"/>
  <c r="M169" i="4"/>
  <c r="I169" i="4"/>
  <c r="Q169" i="4"/>
  <c r="M112" i="4"/>
  <c r="I112" i="4"/>
  <c r="Q112" i="4"/>
  <c r="M86" i="4"/>
  <c r="Q86" i="4"/>
  <c r="I86" i="4"/>
  <c r="M75" i="4"/>
  <c r="Q75" i="4"/>
  <c r="I75" i="4"/>
  <c r="M38" i="4"/>
  <c r="Q38" i="4"/>
  <c r="I38" i="4"/>
  <c r="M51" i="4"/>
  <c r="Q51" i="4"/>
  <c r="I51" i="4"/>
  <c r="M21" i="4"/>
  <c r="I21" i="4"/>
  <c r="Q21" i="4"/>
  <c r="M69" i="4"/>
  <c r="I69" i="4"/>
  <c r="Q69" i="4"/>
  <c r="M19" i="4"/>
  <c r="Q19" i="4"/>
  <c r="I19" i="4"/>
  <c r="M99" i="4"/>
  <c r="Q99" i="4"/>
  <c r="I99" i="4"/>
  <c r="L20" i="4"/>
  <c r="P20" i="4"/>
  <c r="H20" i="4"/>
  <c r="M144" i="4"/>
  <c r="I144" i="4"/>
  <c r="Q144" i="4"/>
  <c r="M119" i="4"/>
  <c r="Q119" i="4"/>
  <c r="I119" i="4"/>
  <c r="M9" i="4"/>
  <c r="Q9" i="4"/>
  <c r="I9" i="4"/>
  <c r="M156" i="4"/>
  <c r="Q156" i="4"/>
  <c r="I156" i="4"/>
  <c r="M83" i="4"/>
  <c r="Q83" i="4"/>
  <c r="I83" i="4"/>
  <c r="I47" i="4"/>
  <c r="Q47" i="4"/>
  <c r="M100" i="4"/>
  <c r="Q100" i="4"/>
  <c r="I100" i="4"/>
  <c r="M114" i="4"/>
  <c r="I114" i="4"/>
  <c r="Q114" i="4"/>
  <c r="M96" i="4"/>
  <c r="I96" i="4"/>
  <c r="Q96" i="4"/>
  <c r="M50" i="4"/>
  <c r="I50" i="4"/>
  <c r="Q50" i="4"/>
  <c r="M126" i="4"/>
  <c r="I126" i="4"/>
  <c r="Q126" i="4"/>
  <c r="M31" i="4"/>
  <c r="I31" i="4"/>
  <c r="Q31" i="4"/>
  <c r="M123" i="4"/>
  <c r="Q123" i="4"/>
  <c r="I123" i="4"/>
  <c r="M143" i="4"/>
  <c r="I143" i="4"/>
  <c r="Q143" i="4"/>
  <c r="M97" i="4"/>
  <c r="Q97" i="4"/>
  <c r="I97" i="4"/>
  <c r="M39" i="4"/>
  <c r="Q39" i="4"/>
  <c r="I39" i="4"/>
  <c r="M27" i="4"/>
  <c r="Q27" i="4"/>
  <c r="I27" i="4"/>
  <c r="M43" i="4"/>
  <c r="Q43" i="4"/>
  <c r="I43" i="4"/>
  <c r="M35" i="4"/>
  <c r="Q35" i="4"/>
  <c r="I35" i="4"/>
  <c r="M93" i="4"/>
  <c r="Q93" i="4"/>
  <c r="I93" i="4"/>
  <c r="M162" i="4"/>
  <c r="I162" i="4"/>
  <c r="Q162" i="4"/>
  <c r="Q150" i="4"/>
  <c r="I150" i="4"/>
  <c r="J5" i="4"/>
  <c r="F5" i="4"/>
  <c r="M128" i="4"/>
  <c r="I128" i="4"/>
  <c r="Q128" i="4"/>
  <c r="M65" i="4"/>
  <c r="I65" i="4"/>
  <c r="Q65" i="4"/>
  <c r="M37" i="4"/>
  <c r="I37" i="4"/>
  <c r="Q37" i="4"/>
  <c r="M23" i="4"/>
  <c r="Q23" i="4"/>
  <c r="I23" i="4"/>
  <c r="M72" i="4"/>
  <c r="Q72" i="4"/>
  <c r="I72" i="4"/>
  <c r="M58" i="4"/>
  <c r="I58" i="4"/>
  <c r="Q58" i="4"/>
  <c r="M53" i="4"/>
  <c r="I53" i="4"/>
  <c r="Q53" i="4"/>
  <c r="M163" i="4"/>
  <c r="Q163" i="4"/>
  <c r="I163" i="4"/>
  <c r="M105" i="4"/>
  <c r="I105" i="4"/>
  <c r="Q105" i="4"/>
  <c r="M133" i="4"/>
  <c r="Q133" i="4"/>
  <c r="I133" i="4"/>
  <c r="M36" i="4"/>
  <c r="Q36" i="4"/>
  <c r="I36" i="4"/>
  <c r="M63" i="4"/>
  <c r="I63" i="4"/>
  <c r="Q63" i="4"/>
  <c r="M20" i="4"/>
  <c r="I20" i="4"/>
  <c r="Q20" i="4"/>
  <c r="M141" i="4"/>
  <c r="I141" i="4"/>
  <c r="Q141" i="4"/>
  <c r="M140" i="4"/>
  <c r="Q140" i="4"/>
  <c r="I140" i="4"/>
  <c r="M34" i="4"/>
  <c r="I34" i="4"/>
  <c r="Q34" i="4"/>
  <c r="M121" i="4"/>
  <c r="I121" i="4"/>
  <c r="Q121" i="4"/>
  <c r="M74" i="4"/>
  <c r="I74" i="4"/>
  <c r="Q74" i="4"/>
  <c r="M118" i="4"/>
  <c r="Q118" i="4"/>
  <c r="I118" i="4"/>
  <c r="M159" i="4"/>
  <c r="I159" i="4"/>
  <c r="Q159" i="4"/>
  <c r="M170" i="4"/>
  <c r="I170" i="4"/>
  <c r="Q170" i="4"/>
  <c r="M67" i="4"/>
  <c r="Q67" i="4"/>
  <c r="I67" i="4"/>
  <c r="M117" i="4"/>
  <c r="Q117" i="4"/>
  <c r="I117" i="4"/>
  <c r="M110" i="4"/>
  <c r="I110" i="4"/>
  <c r="Q110" i="4"/>
  <c r="M52" i="4"/>
  <c r="I52" i="4"/>
  <c r="Q52" i="4"/>
  <c r="M7" i="4"/>
  <c r="Q7" i="4"/>
  <c r="I7" i="4"/>
  <c r="M56" i="4"/>
  <c r="Q56" i="4"/>
  <c r="I56" i="4"/>
  <c r="M44" i="4"/>
  <c r="Q44" i="4"/>
  <c r="I44" i="4"/>
  <c r="M89" i="4"/>
  <c r="I89" i="4"/>
  <c r="Q89" i="4"/>
  <c r="M45" i="4"/>
  <c r="I45" i="4"/>
  <c r="Q45" i="4"/>
  <c r="M172" i="4"/>
  <c r="Q172" i="4"/>
  <c r="I172" i="4"/>
  <c r="O100" i="4"/>
  <c r="P123" i="4"/>
  <c r="L123" i="4"/>
  <c r="J13" i="4"/>
  <c r="N13" i="4"/>
  <c r="J27" i="4"/>
  <c r="N27" i="4"/>
  <c r="K172" i="4"/>
  <c r="O172" i="4"/>
  <c r="N141" i="4"/>
  <c r="J141" i="4"/>
  <c r="J52" i="4"/>
  <c r="N52" i="4"/>
  <c r="K98" i="4"/>
  <c r="O98" i="4"/>
  <c r="K137" i="4"/>
  <c r="O137" i="4"/>
  <c r="J116" i="4"/>
  <c r="N116" i="4"/>
  <c r="N88" i="4"/>
  <c r="J88" i="4"/>
  <c r="N89" i="4"/>
  <c r="J89" i="4"/>
  <c r="J161" i="4"/>
  <c r="N161" i="4"/>
  <c r="L66" i="4"/>
  <c r="P66" i="4"/>
  <c r="J171" i="4"/>
  <c r="N171" i="4"/>
  <c r="O32" i="4"/>
  <c r="K32" i="4"/>
  <c r="K36" i="4"/>
  <c r="O36" i="4"/>
  <c r="O17" i="4"/>
  <c r="K17" i="4"/>
  <c r="L63" i="4"/>
  <c r="P63" i="4"/>
  <c r="J20" i="4"/>
  <c r="N20" i="4"/>
  <c r="K138" i="4"/>
  <c r="O138" i="4"/>
  <c r="J64" i="4"/>
  <c r="N64" i="4"/>
  <c r="N140" i="4"/>
  <c r="J140" i="4"/>
  <c r="L39" i="4"/>
  <c r="P39" i="4"/>
  <c r="AJ117" i="4"/>
  <c r="H117" i="4" s="1"/>
  <c r="J132" i="4"/>
  <c r="N132" i="4"/>
  <c r="J148" i="4"/>
  <c r="N148" i="4"/>
  <c r="P145" i="4"/>
  <c r="L145" i="4"/>
  <c r="J130" i="4"/>
  <c r="N130" i="4"/>
  <c r="O45" i="4"/>
  <c r="K45" i="4"/>
  <c r="L130" i="4"/>
  <c r="P130" i="4"/>
  <c r="J131" i="4"/>
  <c r="N131" i="4"/>
  <c r="N133" i="4"/>
  <c r="J133" i="4"/>
  <c r="K116" i="4"/>
  <c r="O116" i="4"/>
  <c r="K108" i="4"/>
  <c r="O108" i="4"/>
  <c r="K89" i="4"/>
  <c r="O89" i="4"/>
  <c r="K88" i="4"/>
  <c r="O88" i="4"/>
  <c r="P60" i="4"/>
  <c r="L60" i="4"/>
  <c r="K171" i="4"/>
  <c r="O171" i="4"/>
  <c r="J30" i="4"/>
  <c r="N30" i="4"/>
  <c r="O33" i="4"/>
  <c r="K33" i="4"/>
  <c r="K26" i="4"/>
  <c r="O26" i="4"/>
  <c r="P28" i="4"/>
  <c r="L28" i="4"/>
  <c r="J51" i="4"/>
  <c r="N51" i="4"/>
  <c r="J18" i="4"/>
  <c r="N18" i="4"/>
  <c r="K20" i="4"/>
  <c r="O20" i="4"/>
  <c r="J59" i="4"/>
  <c r="N59" i="4"/>
  <c r="L7" i="4"/>
  <c r="P7" i="4"/>
  <c r="O145" i="4"/>
  <c r="K145" i="4"/>
  <c r="K163" i="4"/>
  <c r="O163" i="4"/>
  <c r="P26" i="4"/>
  <c r="L26" i="4"/>
  <c r="P138" i="4"/>
  <c r="L138" i="4"/>
  <c r="L147" i="4"/>
  <c r="P147" i="4"/>
  <c r="O54" i="4"/>
  <c r="K54" i="4"/>
  <c r="P122" i="4"/>
  <c r="L122" i="4"/>
  <c r="K28" i="4"/>
  <c r="O28" i="4"/>
  <c r="N42" i="4"/>
  <c r="J42" i="4"/>
  <c r="P12" i="4"/>
  <c r="L12" i="4"/>
  <c r="K18" i="4"/>
  <c r="O18" i="4"/>
  <c r="K73" i="4"/>
  <c r="O73" i="4"/>
  <c r="K52" i="4"/>
  <c r="O52" i="4"/>
  <c r="O113" i="4"/>
  <c r="K113" i="4"/>
  <c r="K92" i="4"/>
  <c r="O92" i="4"/>
  <c r="N107" i="4"/>
  <c r="J107" i="4"/>
  <c r="N122" i="4"/>
  <c r="J122" i="4"/>
  <c r="P6" i="4"/>
  <c r="L6" i="4"/>
  <c r="O79" i="4"/>
  <c r="K79" i="4"/>
  <c r="O160" i="4"/>
  <c r="K160" i="4"/>
  <c r="N77" i="4"/>
  <c r="J77" i="4"/>
  <c r="K57" i="4"/>
  <c r="O57" i="4"/>
  <c r="P5" i="4"/>
  <c r="L5" i="4"/>
  <c r="K104" i="4"/>
  <c r="O104" i="4"/>
  <c r="K124" i="4"/>
  <c r="O124" i="4"/>
  <c r="O109" i="4"/>
  <c r="K109" i="4"/>
  <c r="P38" i="4"/>
  <c r="L38" i="4"/>
  <c r="J84" i="4"/>
  <c r="N84" i="4"/>
  <c r="P88" i="4"/>
  <c r="L88" i="4"/>
  <c r="O101" i="4"/>
  <c r="K101" i="4"/>
  <c r="P22" i="4"/>
  <c r="L22" i="4"/>
  <c r="L131" i="4"/>
  <c r="P131" i="4"/>
  <c r="K107" i="4"/>
  <c r="O107" i="4"/>
  <c r="L84" i="4"/>
  <c r="P84" i="4"/>
  <c r="P91" i="4"/>
  <c r="L91" i="4"/>
  <c r="N139" i="4"/>
  <c r="J139" i="4"/>
  <c r="L34" i="4"/>
  <c r="P34" i="4"/>
  <c r="K24" i="4"/>
  <c r="O24" i="4"/>
  <c r="P25" i="4"/>
  <c r="L25" i="4"/>
  <c r="P9" i="4"/>
  <c r="L9" i="4"/>
  <c r="K12" i="4"/>
  <c r="O12" i="4"/>
  <c r="O55" i="4"/>
  <c r="K55" i="4"/>
  <c r="K59" i="4"/>
  <c r="O59" i="4"/>
  <c r="K84" i="4"/>
  <c r="O84" i="4"/>
  <c r="O144" i="4"/>
  <c r="K144" i="4"/>
  <c r="L159" i="4"/>
  <c r="P159" i="4"/>
  <c r="O143" i="4"/>
  <c r="K143" i="4"/>
  <c r="K136" i="4"/>
  <c r="O136" i="4"/>
  <c r="O103" i="4"/>
  <c r="K103" i="4"/>
  <c r="AI13" i="4"/>
  <c r="G13" i="4" s="1"/>
  <c r="O70" i="4"/>
  <c r="K70" i="4"/>
  <c r="O125" i="4"/>
  <c r="K125" i="4"/>
  <c r="P107" i="4"/>
  <c r="L107" i="4"/>
  <c r="J115" i="4"/>
  <c r="N115" i="4"/>
  <c r="K83" i="4"/>
  <c r="O83" i="4"/>
  <c r="K139" i="4"/>
  <c r="O139" i="4"/>
  <c r="O166" i="4"/>
  <c r="K166" i="4"/>
  <c r="K74" i="4"/>
  <c r="O74" i="4"/>
  <c r="Q5" i="4"/>
  <c r="M5" i="4"/>
  <c r="O39" i="4"/>
  <c r="K39" i="4"/>
  <c r="J32" i="4"/>
  <c r="N32" i="4"/>
  <c r="P57" i="4"/>
  <c r="L57" i="4"/>
  <c r="O15" i="4"/>
  <c r="K15" i="4"/>
  <c r="O157" i="4"/>
  <c r="K157" i="4"/>
  <c r="P41" i="4"/>
  <c r="L41" i="4"/>
  <c r="O129" i="4"/>
  <c r="K129" i="4"/>
  <c r="P16" i="4"/>
  <c r="L16" i="4"/>
  <c r="N108" i="4"/>
  <c r="J108" i="4"/>
  <c r="N24" i="4"/>
  <c r="J24" i="4"/>
  <c r="J61" i="4"/>
  <c r="N61" i="4"/>
  <c r="P140" i="4"/>
  <c r="L140" i="4"/>
  <c r="L99" i="4"/>
  <c r="P99" i="4"/>
  <c r="K42" i="4"/>
  <c r="O42" i="4"/>
  <c r="O161" i="4"/>
  <c r="K161" i="4"/>
  <c r="P152" i="4"/>
  <c r="L152" i="4"/>
  <c r="N143" i="4"/>
  <c r="J143" i="4"/>
  <c r="L116" i="4"/>
  <c r="P116" i="4"/>
  <c r="P171" i="4"/>
  <c r="L171" i="4"/>
  <c r="N127" i="4"/>
  <c r="J127" i="4"/>
  <c r="N106" i="4"/>
  <c r="J106" i="4"/>
  <c r="P42" i="4"/>
  <c r="L42" i="4"/>
  <c r="N26" i="4"/>
  <c r="J26" i="4"/>
  <c r="P108" i="4"/>
  <c r="L108" i="4"/>
  <c r="P11" i="4"/>
  <c r="L11" i="4"/>
  <c r="O16" i="4"/>
  <c r="K16" i="4"/>
  <c r="J15" i="4"/>
  <c r="N15" i="4"/>
  <c r="M111" i="4"/>
  <c r="J146" i="4"/>
  <c r="N146" i="4"/>
  <c r="O133" i="4"/>
  <c r="K133" i="4"/>
  <c r="O151" i="4"/>
  <c r="K151" i="4"/>
  <c r="J160" i="4"/>
  <c r="N160" i="4"/>
  <c r="P74" i="4"/>
  <c r="L74" i="4"/>
  <c r="L95" i="4"/>
  <c r="P95" i="4"/>
  <c r="L109" i="4"/>
  <c r="P109" i="4"/>
  <c r="P160" i="4"/>
  <c r="L160" i="4"/>
  <c r="K130" i="4"/>
  <c r="O130" i="4"/>
  <c r="O5" i="4"/>
  <c r="K5" i="4"/>
  <c r="O93" i="4"/>
  <c r="K93" i="4"/>
  <c r="O6" i="4"/>
  <c r="K6" i="4"/>
  <c r="L68" i="4"/>
  <c r="P68" i="4"/>
  <c r="K115" i="4"/>
  <c r="O115" i="4"/>
  <c r="J155" i="4"/>
  <c r="N155" i="4"/>
  <c r="O29" i="4"/>
  <c r="K29" i="4"/>
  <c r="J129" i="4"/>
  <c r="N129" i="4"/>
  <c r="K122" i="4"/>
  <c r="O122" i="4"/>
  <c r="K162" i="4"/>
  <c r="O162" i="4"/>
  <c r="O127" i="4"/>
  <c r="K127" i="4"/>
  <c r="O85" i="4"/>
  <c r="K85" i="4"/>
  <c r="L67" i="4"/>
  <c r="P67" i="4"/>
  <c r="P90" i="4"/>
  <c r="L90" i="4"/>
  <c r="K66" i="4"/>
  <c r="O66" i="4"/>
  <c r="N125" i="4"/>
  <c r="J125" i="4"/>
  <c r="P172" i="4"/>
  <c r="L172" i="4"/>
  <c r="K146" i="4"/>
  <c r="O146" i="4"/>
  <c r="L127" i="4"/>
  <c r="P127" i="4"/>
  <c r="P120" i="4"/>
  <c r="L120" i="4"/>
  <c r="K120" i="4"/>
  <c r="O120" i="4"/>
  <c r="O81" i="4"/>
  <c r="K81" i="4"/>
  <c r="AJ65" i="4"/>
  <c r="H65" i="4" s="1"/>
  <c r="O158" i="4"/>
  <c r="K158" i="4"/>
  <c r="K123" i="4"/>
  <c r="O123" i="4"/>
  <c r="P105" i="4"/>
  <c r="L105" i="4"/>
  <c r="P170" i="4"/>
  <c r="L170" i="4"/>
  <c r="P155" i="4"/>
  <c r="L155" i="4"/>
  <c r="N10" i="4"/>
  <c r="J10" i="4"/>
  <c r="L71" i="4"/>
  <c r="P71" i="4"/>
  <c r="N76" i="4"/>
  <c r="J76" i="4"/>
  <c r="L82" i="4"/>
  <c r="P82" i="4"/>
  <c r="N21" i="4"/>
  <c r="J21" i="4"/>
  <c r="L125" i="4"/>
  <c r="P125" i="4"/>
  <c r="K7" i="4"/>
  <c r="AH44" i="4"/>
  <c r="F44" i="4" s="1"/>
  <c r="J11" i="4"/>
  <c r="N11" i="4"/>
  <c r="J156" i="4"/>
  <c r="N156" i="4"/>
  <c r="P106" i="4"/>
  <c r="L106" i="4"/>
  <c r="P10" i="4"/>
  <c r="L10" i="4"/>
  <c r="P24" i="4"/>
  <c r="L24" i="4"/>
  <c r="J113" i="4"/>
  <c r="N113" i="4"/>
  <c r="M47" i="4"/>
  <c r="K164" i="4"/>
  <c r="O164" i="4"/>
  <c r="O77" i="4"/>
  <c r="K77" i="4"/>
  <c r="O149" i="4"/>
  <c r="K149" i="4"/>
  <c r="K131" i="4"/>
  <c r="O131" i="4"/>
  <c r="L143" i="4"/>
  <c r="P143" i="4"/>
  <c r="J100" i="4"/>
  <c r="N100" i="4"/>
  <c r="L79" i="4"/>
  <c r="P79" i="4"/>
  <c r="P139" i="4"/>
  <c r="L139" i="4"/>
  <c r="O135" i="4"/>
  <c r="K135" i="4"/>
  <c r="J33" i="4"/>
  <c r="N33" i="4"/>
  <c r="J157" i="4"/>
  <c r="N157" i="4"/>
  <c r="N123" i="4"/>
  <c r="J123" i="4"/>
  <c r="N105" i="4"/>
  <c r="J105" i="4"/>
  <c r="J67" i="4"/>
  <c r="N67" i="4"/>
  <c r="K155" i="4"/>
  <c r="O155" i="4"/>
  <c r="N104" i="4"/>
  <c r="J104" i="4"/>
  <c r="N8" i="4"/>
  <c r="J8" i="4"/>
  <c r="L115" i="4"/>
  <c r="P115" i="4"/>
  <c r="J170" i="4"/>
  <c r="N170" i="4"/>
  <c r="L111" i="4"/>
  <c r="P111" i="4"/>
  <c r="L77" i="4"/>
  <c r="P77" i="4"/>
  <c r="K154" i="4"/>
  <c r="O154" i="4"/>
  <c r="O110" i="4"/>
  <c r="K110" i="4"/>
  <c r="O112" i="4"/>
  <c r="K112" i="4"/>
  <c r="O86" i="4"/>
  <c r="K86" i="4"/>
  <c r="O80" i="4"/>
  <c r="K80" i="4"/>
  <c r="K82" i="4"/>
  <c r="O82" i="4"/>
  <c r="O21" i="4"/>
  <c r="K21" i="4"/>
  <c r="L51" i="4"/>
  <c r="P51" i="4"/>
  <c r="N69" i="4"/>
  <c r="J69" i="4"/>
  <c r="L15" i="4"/>
  <c r="P15" i="4"/>
  <c r="O23" i="4"/>
  <c r="K23" i="4"/>
  <c r="K147" i="4"/>
  <c r="O147" i="4"/>
  <c r="P89" i="4"/>
  <c r="L89" i="4"/>
  <c r="L13" i="4"/>
  <c r="P13" i="4"/>
  <c r="N74" i="4"/>
  <c r="J74" i="4"/>
  <c r="O96" i="4"/>
  <c r="K96" i="4"/>
  <c r="K152" i="4"/>
  <c r="O152" i="4"/>
  <c r="N101" i="4"/>
  <c r="J101" i="4"/>
  <c r="K91" i="4"/>
  <c r="O91" i="4"/>
  <c r="K34" i="4"/>
  <c r="O34" i="4"/>
  <c r="P136" i="4"/>
  <c r="L136" i="4"/>
  <c r="O97" i="4"/>
  <c r="K97" i="4"/>
  <c r="K105" i="4"/>
  <c r="O105" i="4"/>
  <c r="O134" i="4"/>
  <c r="K134" i="4"/>
  <c r="L100" i="4"/>
  <c r="P100" i="4"/>
  <c r="J145" i="4"/>
  <c r="N145" i="4"/>
  <c r="P33" i="4"/>
  <c r="L33" i="4"/>
  <c r="N71" i="4"/>
  <c r="J71" i="4"/>
  <c r="J97" i="4"/>
  <c r="N97" i="4"/>
  <c r="K11" i="4"/>
  <c r="O11" i="4"/>
  <c r="J164" i="4"/>
  <c r="N164" i="4"/>
  <c r="O49" i="4"/>
  <c r="K49" i="4"/>
  <c r="L164" i="4"/>
  <c r="P164" i="4"/>
  <c r="O111" i="4"/>
  <c r="K111" i="4"/>
  <c r="P113" i="4"/>
  <c r="L113" i="4"/>
  <c r="J82" i="4"/>
  <c r="N82" i="4"/>
  <c r="O64" i="4"/>
  <c r="K64" i="4"/>
  <c r="K153" i="4"/>
  <c r="O153" i="4"/>
  <c r="P76" i="4"/>
  <c r="P156" i="4"/>
  <c r="L156" i="4"/>
  <c r="L132" i="4"/>
  <c r="P132" i="4"/>
  <c r="N109" i="4"/>
  <c r="J109" i="4"/>
  <c r="P104" i="4"/>
  <c r="L104" i="4"/>
  <c r="N111" i="4"/>
  <c r="J111" i="4"/>
  <c r="K75" i="4"/>
  <c r="O75" i="4"/>
  <c r="J81" i="4"/>
  <c r="N81" i="4"/>
  <c r="O61" i="4"/>
  <c r="K61" i="4"/>
  <c r="L148" i="4"/>
  <c r="P148" i="4"/>
  <c r="L114" i="4"/>
  <c r="P114" i="4"/>
  <c r="K90" i="4"/>
  <c r="O90" i="4"/>
  <c r="J144" i="4"/>
  <c r="N144" i="4"/>
  <c r="O119" i="4"/>
  <c r="K119" i="4"/>
  <c r="O47" i="4"/>
  <c r="K47" i="4"/>
  <c r="K50" i="4"/>
  <c r="O50" i="4"/>
  <c r="K41" i="4"/>
  <c r="O41" i="4"/>
  <c r="K58" i="4"/>
  <c r="O58" i="4"/>
  <c r="P21" i="4"/>
  <c r="L21" i="4"/>
  <c r="K51" i="4"/>
  <c r="O51" i="4"/>
  <c r="O69" i="4"/>
  <c r="K69" i="4"/>
  <c r="O14" i="4"/>
  <c r="K14" i="4"/>
  <c r="L93" i="4"/>
  <c r="P93" i="4"/>
  <c r="P124" i="4"/>
  <c r="L124" i="4"/>
  <c r="L163" i="4"/>
  <c r="P163" i="4"/>
  <c r="L87" i="4"/>
  <c r="P87" i="4"/>
  <c r="M150" i="4"/>
  <c r="O95" i="4"/>
  <c r="K95" i="4"/>
  <c r="N165" i="4"/>
  <c r="J165" i="4"/>
  <c r="J79" i="4"/>
  <c r="N79" i="4"/>
  <c r="P32" i="4"/>
  <c r="L32" i="4"/>
  <c r="L50" i="4"/>
  <c r="P50" i="4"/>
  <c r="N37" i="4"/>
  <c r="J37" i="4"/>
  <c r="L29" i="4"/>
  <c r="P29" i="4"/>
  <c r="P44" i="4"/>
  <c r="L44" i="4"/>
  <c r="O87" i="4"/>
  <c r="K87" i="4"/>
  <c r="K40" i="4"/>
  <c r="O40" i="4"/>
  <c r="N120" i="4"/>
  <c r="J120" i="4"/>
  <c r="N138" i="4"/>
  <c r="J138" i="4"/>
  <c r="K169" i="4"/>
  <c r="O169" i="4"/>
  <c r="P97" i="4"/>
  <c r="L97" i="4"/>
  <c r="J66" i="4"/>
  <c r="N66" i="4"/>
  <c r="O31" i="4"/>
  <c r="K31" i="4"/>
  <c r="P80" i="4"/>
  <c r="L80" i="4"/>
  <c r="O62" i="4"/>
  <c r="K62" i="4"/>
  <c r="O37" i="4"/>
  <c r="K37" i="4"/>
  <c r="P27" i="4"/>
  <c r="L27" i="4"/>
  <c r="N25" i="4"/>
  <c r="J25" i="4"/>
  <c r="J17" i="4"/>
  <c r="N17" i="4"/>
  <c r="K44" i="4"/>
  <c r="O44" i="4"/>
  <c r="N53" i="4"/>
  <c r="J53" i="4"/>
  <c r="K10" i="4"/>
  <c r="O10" i="4"/>
  <c r="N94" i="4"/>
  <c r="J94" i="4"/>
  <c r="N87" i="4"/>
  <c r="J87" i="4"/>
  <c r="P168" i="4"/>
  <c r="L168" i="4"/>
  <c r="N95" i="4"/>
  <c r="J95" i="4"/>
  <c r="O102" i="4"/>
  <c r="K102" i="4"/>
  <c r="O38" i="4"/>
  <c r="K38" i="4"/>
  <c r="P85" i="4"/>
  <c r="L85" i="4"/>
  <c r="O118" i="4"/>
  <c r="K118" i="4"/>
  <c r="O150" i="4"/>
  <c r="K150" i="4"/>
  <c r="O128" i="4"/>
  <c r="K128" i="4"/>
  <c r="K60" i="4"/>
  <c r="O60" i="4"/>
  <c r="O65" i="4"/>
  <c r="K65" i="4"/>
  <c r="K25" i="4"/>
  <c r="O25" i="4"/>
  <c r="L14" i="4"/>
  <c r="P14" i="4"/>
  <c r="P43" i="4"/>
  <c r="L43" i="4"/>
  <c r="O53" i="4"/>
  <c r="K53" i="4"/>
  <c r="K19" i="4"/>
  <c r="O19" i="4"/>
  <c r="N22" i="4"/>
  <c r="J22" i="4"/>
  <c r="N91" i="4"/>
  <c r="J91" i="4"/>
  <c r="L45" i="4"/>
  <c r="P45" i="4"/>
  <c r="N85" i="4"/>
  <c r="J85" i="4"/>
  <c r="K67" i="4"/>
  <c r="O67" i="4"/>
  <c r="O63" i="4"/>
  <c r="K63" i="4"/>
  <c r="N93" i="4"/>
  <c r="J93" i="4"/>
  <c r="J163" i="4"/>
  <c r="N163" i="4"/>
  <c r="N9" i="4"/>
  <c r="J9" i="4"/>
  <c r="K156" i="4"/>
  <c r="O156" i="4"/>
  <c r="AJ141" i="4"/>
  <c r="H141" i="4" s="1"/>
  <c r="J162" i="4"/>
  <c r="N162" i="4"/>
  <c r="P161" i="4"/>
  <c r="L161" i="4"/>
  <c r="O22" i="4"/>
  <c r="K22" i="4"/>
  <c r="P81" i="4"/>
  <c r="L81" i="4"/>
  <c r="N134" i="4"/>
  <c r="J134" i="4"/>
  <c r="P92" i="4"/>
  <c r="L92" i="4"/>
  <c r="L83" i="4"/>
  <c r="P83" i="4"/>
  <c r="P59" i="4"/>
  <c r="L59" i="4"/>
  <c r="K9" i="4"/>
  <c r="O9" i="4"/>
  <c r="N38" i="4"/>
  <c r="J38" i="4"/>
  <c r="N72" i="4"/>
  <c r="J72" i="4"/>
  <c r="P58" i="4"/>
  <c r="L58" i="4"/>
  <c r="P53" i="4"/>
  <c r="L53" i="4"/>
  <c r="K8" i="4"/>
  <c r="O8" i="4"/>
  <c r="L36" i="4"/>
  <c r="P36" i="4"/>
  <c r="P8" i="4"/>
  <c r="L8" i="4"/>
  <c r="K27" i="4"/>
  <c r="O27" i="4"/>
  <c r="J168" i="4"/>
  <c r="N168" i="4"/>
  <c r="O165" i="4"/>
  <c r="K165" i="4"/>
  <c r="K148" i="4"/>
  <c r="O148" i="4"/>
  <c r="J172" i="4"/>
  <c r="N172" i="4"/>
  <c r="N92" i="4"/>
  <c r="J92" i="4"/>
  <c r="J62" i="4"/>
  <c r="N62" i="4"/>
  <c r="L61" i="4"/>
  <c r="P61" i="4"/>
  <c r="O142" i="4"/>
  <c r="K142" i="4"/>
  <c r="N57" i="4"/>
  <c r="J57" i="4"/>
  <c r="K56" i="4"/>
  <c r="O56" i="4"/>
  <c r="J43" i="4"/>
  <c r="N43" i="4"/>
  <c r="J154" i="4"/>
  <c r="N154" i="4"/>
  <c r="K114" i="4"/>
  <c r="O114" i="4"/>
  <c r="J45" i="4"/>
  <c r="N45" i="4"/>
  <c r="O126" i="4"/>
  <c r="K126" i="4"/>
  <c r="K168" i="4"/>
  <c r="O168" i="4"/>
  <c r="P64" i="4"/>
  <c r="L64" i="4"/>
  <c r="P37" i="4"/>
  <c r="L37" i="4"/>
  <c r="J147" i="4"/>
  <c r="N147" i="4"/>
  <c r="J159" i="4"/>
  <c r="N159" i="4"/>
  <c r="O167" i="4"/>
  <c r="K167" i="4"/>
  <c r="K99" i="4"/>
  <c r="O99" i="4"/>
  <c r="N117" i="4"/>
  <c r="J117" i="4"/>
  <c r="P134" i="4"/>
  <c r="L134" i="4"/>
  <c r="O94" i="4"/>
  <c r="K94" i="4"/>
  <c r="K76" i="4"/>
  <c r="O76" i="4"/>
  <c r="K72" i="4"/>
  <c r="O72" i="4"/>
  <c r="J65" i="4"/>
  <c r="N65" i="4"/>
  <c r="L31" i="4"/>
  <c r="P31" i="4"/>
  <c r="N7" i="4"/>
  <c r="J7" i="4"/>
  <c r="L30" i="4"/>
  <c r="P30" i="4"/>
  <c r="N6" i="4"/>
  <c r="J6" i="4"/>
  <c r="K121" i="4"/>
  <c r="O121" i="4"/>
  <c r="K140" i="4"/>
  <c r="O140" i="4"/>
  <c r="K132" i="4"/>
  <c r="O132" i="4"/>
  <c r="O159" i="4"/>
  <c r="K159" i="4"/>
  <c r="O141" i="4"/>
  <c r="K141" i="4"/>
  <c r="P54" i="4"/>
  <c r="L54" i="4"/>
  <c r="L98" i="4"/>
  <c r="P98" i="4"/>
  <c r="O117" i="4"/>
  <c r="K117" i="4"/>
  <c r="L94" i="4"/>
  <c r="P94" i="4"/>
  <c r="N90" i="4"/>
  <c r="J90" i="4"/>
  <c r="K170" i="4"/>
  <c r="O170" i="4"/>
  <c r="O71" i="4"/>
  <c r="K71" i="4"/>
  <c r="O48" i="4"/>
  <c r="K48" i="4"/>
  <c r="O30" i="4"/>
  <c r="K30" i="4"/>
  <c r="J36" i="4"/>
  <c r="N36" i="4"/>
  <c r="P17" i="4"/>
  <c r="L17" i="4"/>
  <c r="O46" i="4"/>
  <c r="K46" i="4"/>
  <c r="O78" i="4"/>
  <c r="K78" i="4"/>
  <c r="K35" i="4"/>
  <c r="O35" i="4"/>
  <c r="N54" i="4"/>
  <c r="J54" i="4"/>
  <c r="N39" i="4"/>
  <c r="J39" i="4"/>
  <c r="N124" i="4"/>
  <c r="J124" i="4"/>
  <c r="AH63" i="4"/>
  <c r="F63" i="4" s="1"/>
  <c r="AH58" i="4"/>
  <c r="F58" i="4" s="1"/>
  <c r="AH99" i="4"/>
  <c r="F99" i="4" s="1"/>
  <c r="AH28" i="4"/>
  <c r="F28" i="4" s="1"/>
  <c r="AH60" i="4"/>
  <c r="F60" i="4" s="1"/>
  <c r="AJ62" i="4"/>
  <c r="H62" i="4" s="1"/>
  <c r="AH114" i="4"/>
  <c r="F114" i="4" s="1"/>
  <c r="AJ69" i="4"/>
  <c r="H69" i="4" s="1"/>
  <c r="AH41" i="4"/>
  <c r="F41" i="4" s="1"/>
  <c r="AH12" i="4"/>
  <c r="F12" i="4" s="1"/>
  <c r="AH16" i="4"/>
  <c r="F16" i="4" s="1"/>
  <c r="AJ118" i="4"/>
  <c r="H118" i="4" s="1"/>
  <c r="AH118" i="4"/>
  <c r="F118" i="4" s="1"/>
  <c r="AJ73" i="4"/>
  <c r="H73" i="4" s="1"/>
  <c r="AH73" i="4"/>
  <c r="F73" i="4" s="1"/>
  <c r="AJ162" i="4"/>
  <c r="H162" i="4" s="1"/>
  <c r="AJ150" i="4"/>
  <c r="H150" i="4" s="1"/>
  <c r="AH150" i="4"/>
  <c r="F150" i="4" s="1"/>
  <c r="AJ128" i="4"/>
  <c r="H128" i="4" s="1"/>
  <c r="AH128" i="4"/>
  <c r="F128" i="4" s="1"/>
  <c r="AH83" i="4"/>
  <c r="F83" i="4" s="1"/>
  <c r="AJ47" i="4"/>
  <c r="H47" i="4" s="1"/>
  <c r="AH47" i="4"/>
  <c r="F47" i="4" s="1"/>
  <c r="AJ18" i="4"/>
  <c r="H18" i="4" s="1"/>
  <c r="AJ133" i="4"/>
  <c r="H133" i="4" s="1"/>
  <c r="AJ144" i="4"/>
  <c r="H144" i="4" s="1"/>
  <c r="AI68" i="4"/>
  <c r="G68" i="4" s="1"/>
  <c r="AH68" i="4"/>
  <c r="F68" i="4" s="1"/>
  <c r="AJ55" i="4"/>
  <c r="H55" i="4" s="1"/>
  <c r="AH55" i="4"/>
  <c r="F55" i="4" s="1"/>
  <c r="AJ158" i="4"/>
  <c r="H158" i="4" s="1"/>
  <c r="AH158" i="4"/>
  <c r="F158" i="4" s="1"/>
  <c r="AJ86" i="4"/>
  <c r="H86" i="4" s="1"/>
  <c r="AH86" i="4"/>
  <c r="F86" i="4" s="1"/>
  <c r="AJ146" i="4"/>
  <c r="H146" i="4" s="1"/>
  <c r="AJ167" i="4"/>
  <c r="H167" i="4" s="1"/>
  <c r="AH167" i="4"/>
  <c r="F167" i="4" s="1"/>
  <c r="AH80" i="4"/>
  <c r="F80" i="4" s="1"/>
  <c r="AJ75" i="4"/>
  <c r="H75" i="4" s="1"/>
  <c r="AH75" i="4"/>
  <c r="F75" i="4" s="1"/>
  <c r="AJ102" i="4"/>
  <c r="H102" i="4" s="1"/>
  <c r="AH102" i="4"/>
  <c r="F102" i="4" s="1"/>
  <c r="AJ121" i="4"/>
  <c r="H121" i="4" s="1"/>
  <c r="AH121" i="4"/>
  <c r="F121" i="4" s="1"/>
  <c r="AJ101" i="4"/>
  <c r="H101" i="4" s="1"/>
  <c r="AJ70" i="4"/>
  <c r="H70" i="4" s="1"/>
  <c r="AH70" i="4"/>
  <c r="F70" i="4" s="1"/>
  <c r="AJ72" i="4"/>
  <c r="H72" i="4" s="1"/>
  <c r="AJ78" i="4"/>
  <c r="H78" i="4" s="1"/>
  <c r="AH78" i="4"/>
  <c r="F78" i="4" s="1"/>
  <c r="AJ103" i="4"/>
  <c r="H103" i="4" s="1"/>
  <c r="AH103" i="4"/>
  <c r="F103" i="4" s="1"/>
  <c r="AH29" i="4"/>
  <c r="F29" i="4" s="1"/>
  <c r="AJ149" i="4"/>
  <c r="H149" i="4" s="1"/>
  <c r="AH149" i="4"/>
  <c r="F149" i="4" s="1"/>
  <c r="AJ151" i="4"/>
  <c r="H151" i="4" s="1"/>
  <c r="AH151" i="4"/>
  <c r="F151" i="4" s="1"/>
  <c r="AJ56" i="4"/>
  <c r="H56" i="4" s="1"/>
  <c r="AH56" i="4"/>
  <c r="F56" i="4" s="1"/>
  <c r="AJ129" i="4"/>
  <c r="H129" i="4" s="1"/>
  <c r="AJ23" i="4"/>
  <c r="H23" i="4" s="1"/>
  <c r="AH23" i="4"/>
  <c r="F23" i="4" s="1"/>
  <c r="AH19" i="4"/>
  <c r="F19" i="4" s="1"/>
  <c r="AJ19" i="4"/>
  <c r="H19" i="4" s="1"/>
  <c r="AJ142" i="4"/>
  <c r="H142" i="4" s="1"/>
  <c r="AH142" i="4"/>
  <c r="F142" i="4" s="1"/>
  <c r="AJ48" i="4"/>
  <c r="H48" i="4" s="1"/>
  <c r="AH48" i="4"/>
  <c r="F48" i="4" s="1"/>
  <c r="AH49" i="4"/>
  <c r="F49" i="4" s="1"/>
  <c r="AJ49" i="4"/>
  <c r="H49" i="4" s="1"/>
  <c r="AJ135" i="4"/>
  <c r="H135" i="4" s="1"/>
  <c r="AH135" i="4"/>
  <c r="F135" i="4" s="1"/>
  <c r="AJ165" i="4"/>
  <c r="H165" i="4" s="1"/>
  <c r="AJ126" i="4"/>
  <c r="H126" i="4" s="1"/>
  <c r="AH126" i="4"/>
  <c r="F126" i="4" s="1"/>
  <c r="AH98" i="4"/>
  <c r="F98" i="4" s="1"/>
  <c r="AJ137" i="4"/>
  <c r="H137" i="4" s="1"/>
  <c r="AH137" i="4"/>
  <c r="F137" i="4" s="1"/>
  <c r="AJ153" i="4"/>
  <c r="H153" i="4" s="1"/>
  <c r="AH153" i="4"/>
  <c r="F153" i="4" s="1"/>
  <c r="AJ169" i="4"/>
  <c r="H169" i="4" s="1"/>
  <c r="AH169" i="4"/>
  <c r="F169" i="4" s="1"/>
  <c r="AJ110" i="4"/>
  <c r="H110" i="4" s="1"/>
  <c r="AH110" i="4"/>
  <c r="F110" i="4" s="1"/>
  <c r="AJ166" i="4"/>
  <c r="H166" i="4" s="1"/>
  <c r="AH166" i="4"/>
  <c r="F166" i="4" s="1"/>
  <c r="AH35" i="4"/>
  <c r="F35" i="4" s="1"/>
  <c r="AJ35" i="4"/>
  <c r="H35" i="4" s="1"/>
  <c r="AJ40" i="4"/>
  <c r="H40" i="4" s="1"/>
  <c r="AH40" i="4"/>
  <c r="F40" i="4" s="1"/>
  <c r="AJ46" i="4"/>
  <c r="H46" i="4" s="1"/>
  <c r="AH46" i="4"/>
  <c r="F46" i="4" s="1"/>
  <c r="AJ96" i="4"/>
  <c r="H96" i="4" s="1"/>
  <c r="AH96" i="4"/>
  <c r="F96" i="4" s="1"/>
  <c r="AJ119" i="4"/>
  <c r="H119" i="4" s="1"/>
  <c r="AH119" i="4"/>
  <c r="F119" i="4" s="1"/>
  <c r="AJ112" i="4"/>
  <c r="H112" i="4" s="1"/>
  <c r="AH112" i="4"/>
  <c r="F112" i="4" s="1"/>
  <c r="E14" i="1"/>
  <c r="L76" i="4" l="1"/>
  <c r="P157" i="4"/>
  <c r="L157" i="4"/>
  <c r="J63" i="4"/>
  <c r="N63" i="4"/>
  <c r="N167" i="4"/>
  <c r="J167" i="4"/>
  <c r="P112" i="4"/>
  <c r="L112" i="4"/>
  <c r="L142" i="4"/>
  <c r="P142" i="4"/>
  <c r="P86" i="4"/>
  <c r="L86" i="4"/>
  <c r="L119" i="4"/>
  <c r="P119" i="4"/>
  <c r="P153" i="4"/>
  <c r="L153" i="4"/>
  <c r="J19" i="4"/>
  <c r="N19" i="4"/>
  <c r="N70" i="4"/>
  <c r="J70" i="4"/>
  <c r="L158" i="4"/>
  <c r="P158" i="4"/>
  <c r="N73" i="4"/>
  <c r="J73" i="4"/>
  <c r="J60" i="4"/>
  <c r="N60" i="4"/>
  <c r="O13" i="4"/>
  <c r="K13" i="4"/>
  <c r="J35" i="4"/>
  <c r="N35" i="4"/>
  <c r="N55" i="4"/>
  <c r="J55" i="4"/>
  <c r="P117" i="4"/>
  <c r="L117" i="4"/>
  <c r="J114" i="4"/>
  <c r="N114" i="4"/>
  <c r="P70" i="4"/>
  <c r="L70" i="4"/>
  <c r="P73" i="4"/>
  <c r="L73" i="4"/>
  <c r="L55" i="4"/>
  <c r="P55" i="4"/>
  <c r="L135" i="4"/>
  <c r="P135" i="4"/>
  <c r="J68" i="4"/>
  <c r="N68" i="4"/>
  <c r="N137" i="4"/>
  <c r="J137" i="4"/>
  <c r="P129" i="4"/>
  <c r="L129" i="4"/>
  <c r="P121" i="4"/>
  <c r="L121" i="4"/>
  <c r="N58" i="4"/>
  <c r="J58" i="4"/>
  <c r="J47" i="4"/>
  <c r="N47" i="4"/>
  <c r="N23" i="4"/>
  <c r="J23" i="4"/>
  <c r="P96" i="4"/>
  <c r="L96" i="4"/>
  <c r="P101" i="4"/>
  <c r="L101" i="4"/>
  <c r="J98" i="4"/>
  <c r="N98" i="4"/>
  <c r="P118" i="4"/>
  <c r="L118" i="4"/>
  <c r="L62" i="4"/>
  <c r="P62" i="4"/>
  <c r="L46" i="4"/>
  <c r="P46" i="4"/>
  <c r="K68" i="4"/>
  <c r="O68" i="4"/>
  <c r="L126" i="4"/>
  <c r="P126" i="4"/>
  <c r="P144" i="4"/>
  <c r="L144" i="4"/>
  <c r="P65" i="4"/>
  <c r="L65" i="4"/>
  <c r="P69" i="4"/>
  <c r="L69" i="4"/>
  <c r="L23" i="4"/>
  <c r="P23" i="4"/>
  <c r="N121" i="4"/>
  <c r="J121" i="4"/>
  <c r="N56" i="4"/>
  <c r="J56" i="4"/>
  <c r="N40" i="4"/>
  <c r="J40" i="4"/>
  <c r="N102" i="4"/>
  <c r="J102" i="4"/>
  <c r="P165" i="4"/>
  <c r="L165" i="4"/>
  <c r="P133" i="4"/>
  <c r="L133" i="4"/>
  <c r="J96" i="4"/>
  <c r="N96" i="4"/>
  <c r="P137" i="4"/>
  <c r="L137" i="4"/>
  <c r="N118" i="4"/>
  <c r="J118" i="4"/>
  <c r="J46" i="4"/>
  <c r="N46" i="4"/>
  <c r="N126" i="4"/>
  <c r="J126" i="4"/>
  <c r="P56" i="4"/>
  <c r="L56" i="4"/>
  <c r="P40" i="4"/>
  <c r="L40" i="4"/>
  <c r="N151" i="4"/>
  <c r="J151" i="4"/>
  <c r="P102" i="4"/>
  <c r="L102" i="4"/>
  <c r="J16" i="4"/>
  <c r="N16" i="4"/>
  <c r="L35" i="4"/>
  <c r="P35" i="4"/>
  <c r="N135" i="4"/>
  <c r="J135" i="4"/>
  <c r="L151" i="4"/>
  <c r="P151" i="4"/>
  <c r="N75" i="4"/>
  <c r="J75" i="4"/>
  <c r="L18" i="4"/>
  <c r="P18" i="4"/>
  <c r="J12" i="4"/>
  <c r="N12" i="4"/>
  <c r="J28" i="4"/>
  <c r="N28" i="4"/>
  <c r="L141" i="4"/>
  <c r="P141" i="4"/>
  <c r="N149" i="4"/>
  <c r="J149" i="4"/>
  <c r="N166" i="4"/>
  <c r="J166" i="4"/>
  <c r="J29" i="4"/>
  <c r="N29" i="4"/>
  <c r="N103" i="4"/>
  <c r="J103" i="4"/>
  <c r="N41" i="4"/>
  <c r="J41" i="4"/>
  <c r="P149" i="4"/>
  <c r="L149" i="4"/>
  <c r="J49" i="4"/>
  <c r="N49" i="4"/>
  <c r="N110" i="4"/>
  <c r="J110" i="4"/>
  <c r="L167" i="4"/>
  <c r="P167" i="4"/>
  <c r="J99" i="4"/>
  <c r="N99" i="4"/>
  <c r="L110" i="4"/>
  <c r="P110" i="4"/>
  <c r="P48" i="4"/>
  <c r="L48" i="4"/>
  <c r="L103" i="4"/>
  <c r="P103" i="4"/>
  <c r="L146" i="4"/>
  <c r="P146" i="4"/>
  <c r="P128" i="4"/>
  <c r="L128" i="4"/>
  <c r="J44" i="4"/>
  <c r="N44" i="4"/>
  <c r="P75" i="4"/>
  <c r="L75" i="4"/>
  <c r="J80" i="4"/>
  <c r="N80" i="4"/>
  <c r="J48" i="4"/>
  <c r="N48" i="4"/>
  <c r="J128" i="4"/>
  <c r="N128" i="4"/>
  <c r="J112" i="4"/>
  <c r="N112" i="4"/>
  <c r="J169" i="4"/>
  <c r="N169" i="4"/>
  <c r="N142" i="4"/>
  <c r="J142" i="4"/>
  <c r="N78" i="4"/>
  <c r="J78" i="4"/>
  <c r="N86" i="4"/>
  <c r="J86" i="4"/>
  <c r="N150" i="4"/>
  <c r="J150" i="4"/>
  <c r="P49" i="4"/>
  <c r="L49" i="4"/>
  <c r="L47" i="4"/>
  <c r="P47" i="4"/>
  <c r="P166" i="4"/>
  <c r="L166" i="4"/>
  <c r="J83" i="4"/>
  <c r="N83" i="4"/>
  <c r="P169" i="4"/>
  <c r="L169" i="4"/>
  <c r="L78" i="4"/>
  <c r="P78" i="4"/>
  <c r="P150" i="4"/>
  <c r="L150" i="4"/>
  <c r="N119" i="4"/>
  <c r="J119" i="4"/>
  <c r="J153" i="4"/>
  <c r="N153" i="4"/>
  <c r="L19" i="4"/>
  <c r="P19" i="4"/>
  <c r="P72" i="4"/>
  <c r="L72" i="4"/>
  <c r="J158" i="4"/>
  <c r="N158" i="4"/>
  <c r="L162" i="4"/>
  <c r="P162" i="4"/>
  <c r="F13" i="1"/>
  <c r="F17" i="1" l="1"/>
  <c r="B16" i="1"/>
  <c r="N1" i="1"/>
  <c r="F18" i="1"/>
  <c r="G15" i="1" l="1"/>
  <c r="G14" i="1"/>
  <c r="G17" i="1"/>
  <c r="G13" i="1"/>
  <c r="G12" i="1"/>
  <c r="G11" i="1"/>
  <c r="F16" i="1"/>
  <c r="G16" i="1" s="1"/>
  <c r="V16" i="1"/>
  <c r="V17" i="1"/>
  <c r="V11" i="1"/>
  <c r="B18" i="1" l="1"/>
  <c r="D11" i="1"/>
  <c r="D17" i="1"/>
  <c r="D16" i="1"/>
  <c r="E12" i="1"/>
  <c r="E13" i="1"/>
  <c r="E17" i="1" l="1"/>
  <c r="E16" i="1" l="1"/>
</calcChain>
</file>

<file path=xl/sharedStrings.xml><?xml version="1.0" encoding="utf-8"?>
<sst xmlns="http://schemas.openxmlformats.org/spreadsheetml/2006/main" count="645" uniqueCount="113">
  <si>
    <t xml:space="preserve">Job: </t>
  </si>
  <si>
    <t>Motor:</t>
  </si>
  <si>
    <t>Phase:</t>
  </si>
  <si>
    <t>Volts:</t>
  </si>
  <si>
    <t>HP:</t>
  </si>
  <si>
    <t>FLA:</t>
  </si>
  <si>
    <t>AIRFLOW</t>
  </si>
  <si>
    <t>CFM</t>
  </si>
  <si>
    <t>HZ</t>
  </si>
  <si>
    <t xml:space="preserve">TESP </t>
  </si>
  <si>
    <t>MAX.</t>
  </si>
  <si>
    <t>MIN</t>
  </si>
  <si>
    <t>CONST 2</t>
  </si>
  <si>
    <t>CONST 3</t>
  </si>
  <si>
    <t>GEO</t>
  </si>
  <si>
    <t xml:space="preserve">Shop Order: </t>
  </si>
  <si>
    <t>Quantity:</t>
  </si>
  <si>
    <t>TS</t>
  </si>
  <si>
    <t>Unit Maximum Air Flow:</t>
  </si>
  <si>
    <t>Date:</t>
  </si>
  <si>
    <t>Loss Factor</t>
  </si>
  <si>
    <t>Created by:</t>
  </si>
  <si>
    <t>password - cei</t>
  </si>
  <si>
    <t>RPM:</t>
  </si>
  <si>
    <t>M110</t>
  </si>
  <si>
    <t>M112</t>
  </si>
  <si>
    <t>M115</t>
  </si>
  <si>
    <t>M118</t>
  </si>
  <si>
    <t>M120</t>
  </si>
  <si>
    <t>M125</t>
  </si>
  <si>
    <t>M130</t>
  </si>
  <si>
    <t>M136</t>
  </si>
  <si>
    <t>M140</t>
  </si>
  <si>
    <t>Nat Gas</t>
  </si>
  <si>
    <t>LP</t>
  </si>
  <si>
    <t>Downblast</t>
  </si>
  <si>
    <t>Horizontal Blast</t>
  </si>
  <si>
    <t>Upblast</t>
  </si>
  <si>
    <t>Min Airflow</t>
  </si>
  <si>
    <t>Smode</t>
  </si>
  <si>
    <t>Max Airflow</t>
  </si>
  <si>
    <t>CONST 4</t>
  </si>
  <si>
    <t>CONST 5</t>
  </si>
  <si>
    <t>Mount:</t>
  </si>
  <si>
    <t>VI:</t>
  </si>
  <si>
    <t>No</t>
  </si>
  <si>
    <t>Unit</t>
  </si>
  <si>
    <t>Blast</t>
  </si>
  <si>
    <t>HP</t>
  </si>
  <si>
    <t>TEFC</t>
  </si>
  <si>
    <t>Spring Color</t>
  </si>
  <si>
    <t>Cambridge PN</t>
  </si>
  <si>
    <t>A</t>
  </si>
  <si>
    <t>B</t>
  </si>
  <si>
    <t>C</t>
  </si>
  <si>
    <t>D</t>
  </si>
  <si>
    <t>Motor Mass</t>
  </si>
  <si>
    <t>X</t>
  </si>
  <si>
    <t>Y</t>
  </si>
  <si>
    <t>Sled Mass</t>
  </si>
  <si>
    <t>CMx</t>
  </si>
  <si>
    <t>CMy</t>
  </si>
  <si>
    <t>Width</t>
  </si>
  <si>
    <t>Length</t>
  </si>
  <si>
    <t>Mass</t>
  </si>
  <si>
    <t>Left</t>
  </si>
  <si>
    <t>Right</t>
  </si>
  <si>
    <t>Inlet</t>
  </si>
  <si>
    <t>Discharge</t>
  </si>
  <si>
    <t>Safety Factor</t>
  </si>
  <si>
    <t>F Inlet Left</t>
  </si>
  <si>
    <t>F Inlet Right</t>
  </si>
  <si>
    <t>F Discharge Left</t>
  </si>
  <si>
    <t>F Discharge Right</t>
  </si>
  <si>
    <t>UB</t>
  </si>
  <si>
    <t>Yes</t>
  </si>
  <si>
    <t>C-B-750</t>
  </si>
  <si>
    <t>C-B-1000</t>
  </si>
  <si>
    <t>C-B-450</t>
  </si>
  <si>
    <t>See ENG</t>
  </si>
  <si>
    <t>42-084</t>
  </si>
  <si>
    <t>42-085</t>
  </si>
  <si>
    <t>McMaster Carr</t>
  </si>
  <si>
    <t>DB</t>
  </si>
  <si>
    <t>HB</t>
  </si>
  <si>
    <t>Lookup</t>
  </si>
  <si>
    <t>Max Load</t>
  </si>
  <si>
    <t>McMaster-Carr Part #</t>
  </si>
  <si>
    <t>Cambridge Part #</t>
  </si>
  <si>
    <t>Blue</t>
  </si>
  <si>
    <t>6219K71</t>
  </si>
  <si>
    <t>42-080</t>
  </si>
  <si>
    <t>Tan</t>
  </si>
  <si>
    <t>6219K84</t>
  </si>
  <si>
    <t>42-081</t>
  </si>
  <si>
    <t xml:space="preserve">Red </t>
  </si>
  <si>
    <t>6219K72</t>
  </si>
  <si>
    <t>42-082</t>
  </si>
  <si>
    <t>Black</t>
  </si>
  <si>
    <t>6219K73</t>
  </si>
  <si>
    <t>42-083</t>
  </si>
  <si>
    <t>Yellow</t>
  </si>
  <si>
    <t>6219K87</t>
  </si>
  <si>
    <t>Yellow/Green</t>
  </si>
  <si>
    <t>6219K88</t>
  </si>
  <si>
    <t>rainbow</t>
  </si>
  <si>
    <t>6219K74</t>
  </si>
  <si>
    <t>M140 Lookup</t>
  </si>
  <si>
    <t>C-B-280</t>
  </si>
  <si>
    <t>Calc RPM</t>
  </si>
  <si>
    <t>Calc HP</t>
  </si>
  <si>
    <t>Altitude:</t>
  </si>
  <si>
    <t>Press CTRL+T to Test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</si>
</sst>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15" x14ac:knownFonts="1">
    <font>
      <sz val="10"/>
      <name val="Arial"/>
    </font>
    <font>
      <sz val="11"/>
      <color theme="1"/>
      <name val="Calibri"/>
      <family val="2"/>
      <scheme val="minor"/>
    </font>
    <font>
      <b/>
      <sz val="16"/>
      <name val="Arial"/>
      <family val="2"/>
    </font>
    <font>
      <sz val="14"/>
      <name val="Arial"/>
      <family val="2"/>
    </font>
    <font>
      <b/>
      <sz val="14"/>
      <name val="Arial"/>
      <family val="2"/>
    </font>
    <font>
      <sz val="12"/>
      <name val="Arial"/>
      <family val="2"/>
    </font>
    <font>
      <sz val="10"/>
      <name val="Arial"/>
      <family val="2"/>
    </font>
    <font>
      <sz val="14"/>
      <color indexed="10"/>
      <name val="Arial"/>
      <family val="2"/>
    </font>
    <font>
      <b/>
      <sz val="10"/>
      <name val="Arial"/>
      <family val="2"/>
    </font>
    <font>
      <sz val="9"/>
      <name val="Arial"/>
      <family val="2"/>
    </font>
    <font>
      <u/>
      <sz val="10"/>
      <name val="Arial"/>
      <family val="2"/>
    </font>
    <font>
      <b/>
      <sz val="11"/>
      <name val="Arial"/>
      <family val="2"/>
    </font>
    <font>
      <b/>
      <sz val="12"/>
      <name val="Arial"/>
      <family val="2"/>
    </font>
    <font>
      <b/>
      <sz val="13"/>
      <name val="Arial"/>
      <family val="2"/>
    </font>
    <font>
      <b/>
      <sz val="18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FF99"/>
        <bgColor indexed="64"/>
      </patternFill>
    </fill>
  </fills>
  <borders count="31">
    <border>
      <left/>
      <right/>
      <top/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double">
        <color indexed="64"/>
      </bottom>
      <diagonal/>
    </border>
    <border>
      <left/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double">
        <color indexed="64"/>
      </top>
      <bottom style="thin">
        <color indexed="64"/>
      </bottom>
      <diagonal/>
    </border>
    <border>
      <left/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3">
    <xf numFmtId="0" fontId="0" fillId="0" borderId="0"/>
    <xf numFmtId="0" fontId="6" fillId="0" borderId="0"/>
    <xf numFmtId="0" fontId="6" fillId="0" borderId="0"/>
  </cellStyleXfs>
  <cellXfs count="110">
    <xf numFmtId="0" fontId="0" fillId="0" borderId="0" xfId="0"/>
    <xf numFmtId="0" fontId="0" fillId="0" borderId="2" xfId="0" applyBorder="1"/>
    <xf numFmtId="0" fontId="0" fillId="0" borderId="0" xfId="0" applyBorder="1"/>
    <xf numFmtId="0" fontId="0" fillId="0" borderId="3" xfId="0" applyBorder="1"/>
    <xf numFmtId="0" fontId="5" fillId="0" borderId="0" xfId="0" applyFont="1" applyBorder="1"/>
    <xf numFmtId="0" fontId="0" fillId="0" borderId="4" xfId="0" applyBorder="1"/>
    <xf numFmtId="0" fontId="0" fillId="0" borderId="5" xfId="0" applyBorder="1"/>
    <xf numFmtId="0" fontId="3" fillId="0" borderId="6" xfId="0" applyFont="1" applyBorder="1"/>
    <xf numFmtId="0" fontId="3" fillId="0" borderId="7" xfId="0" applyFont="1" applyBorder="1"/>
    <xf numFmtId="0" fontId="2" fillId="0" borderId="2" xfId="0" applyFont="1" applyBorder="1"/>
    <xf numFmtId="2" fontId="3" fillId="0" borderId="8" xfId="0" applyNumberFormat="1" applyFont="1" applyBorder="1"/>
    <xf numFmtId="2" fontId="3" fillId="0" borderId="9" xfId="0" applyNumberFormat="1" applyFont="1" applyBorder="1"/>
    <xf numFmtId="0" fontId="5" fillId="0" borderId="2" xfId="0" applyFont="1" applyBorder="1"/>
    <xf numFmtId="0" fontId="0" fillId="0" borderId="10" xfId="0" applyBorder="1"/>
    <xf numFmtId="0" fontId="0" fillId="0" borderId="11" xfId="0" applyBorder="1"/>
    <xf numFmtId="164" fontId="3" fillId="0" borderId="13" xfId="0" applyNumberFormat="1" applyFont="1" applyBorder="1"/>
    <xf numFmtId="164" fontId="3" fillId="0" borderId="9" xfId="0" applyNumberFormat="1" applyFont="1" applyBorder="1"/>
    <xf numFmtId="0" fontId="5" fillId="0" borderId="3" xfId="0" applyFont="1" applyBorder="1"/>
    <xf numFmtId="0" fontId="3" fillId="0" borderId="3" xfId="0" applyFont="1" applyBorder="1"/>
    <xf numFmtId="0" fontId="4" fillId="0" borderId="6" xfId="0" applyFont="1" applyBorder="1" applyAlignment="1">
      <alignment horizontal="center"/>
    </xf>
    <xf numFmtId="0" fontId="4" fillId="0" borderId="9" xfId="0" applyFont="1" applyBorder="1" applyAlignment="1">
      <alignment horizontal="center"/>
    </xf>
    <xf numFmtId="0" fontId="4" fillId="0" borderId="14" xfId="0" applyFont="1" applyBorder="1" applyAlignment="1">
      <alignment horizontal="center"/>
    </xf>
    <xf numFmtId="0" fontId="4" fillId="0" borderId="15" xfId="0" applyFont="1" applyBorder="1" applyAlignment="1">
      <alignment horizontal="center"/>
    </xf>
    <xf numFmtId="0" fontId="4" fillId="0" borderId="16" xfId="0" applyFont="1" applyBorder="1" applyAlignment="1">
      <alignment horizontal="center"/>
    </xf>
    <xf numFmtId="2" fontId="0" fillId="0" borderId="3" xfId="0" applyNumberFormat="1" applyBorder="1"/>
    <xf numFmtId="0" fontId="3" fillId="2" borderId="9" xfId="0" applyFont="1" applyFill="1" applyBorder="1" applyAlignment="1" applyProtection="1">
      <alignment horizontal="center"/>
      <protection locked="0"/>
    </xf>
    <xf numFmtId="2" fontId="3" fillId="2" borderId="13" xfId="0" applyNumberFormat="1" applyFont="1" applyFill="1" applyBorder="1" applyProtection="1">
      <protection locked="0"/>
    </xf>
    <xf numFmtId="0" fontId="6" fillId="0" borderId="0" xfId="0" applyFont="1"/>
    <xf numFmtId="0" fontId="3" fillId="2" borderId="6" xfId="0" applyFont="1" applyFill="1" applyBorder="1" applyAlignment="1" applyProtection="1">
      <alignment horizontal="center"/>
      <protection locked="0"/>
    </xf>
    <xf numFmtId="0" fontId="4" fillId="0" borderId="2" xfId="0" applyFont="1" applyBorder="1"/>
    <xf numFmtId="0" fontId="2" fillId="2" borderId="9" xfId="0" applyFont="1" applyFill="1" applyBorder="1" applyAlignment="1">
      <alignment horizontal="center"/>
    </xf>
    <xf numFmtId="1" fontId="3" fillId="0" borderId="13" xfId="0" applyNumberFormat="1" applyFont="1" applyFill="1" applyBorder="1" applyAlignment="1" applyProtection="1">
      <alignment horizontal="center"/>
      <protection locked="0"/>
    </xf>
    <xf numFmtId="0" fontId="3" fillId="0" borderId="9" xfId="0" applyFont="1" applyFill="1" applyBorder="1" applyAlignment="1" applyProtection="1">
      <protection locked="0"/>
    </xf>
    <xf numFmtId="0" fontId="0" fillId="0" borderId="0" xfId="0" applyAlignment="1">
      <alignment horizontal="center"/>
    </xf>
    <xf numFmtId="0" fontId="6" fillId="0" borderId="0" xfId="0" applyFont="1" applyAlignment="1">
      <alignment horizontal="center"/>
    </xf>
    <xf numFmtId="0" fontId="6" fillId="0" borderId="0" xfId="0" applyFont="1" applyFill="1" applyBorder="1" applyAlignment="1">
      <alignment horizontal="center"/>
    </xf>
    <xf numFmtId="0" fontId="10" fillId="0" borderId="0" xfId="0" applyFont="1" applyAlignment="1">
      <alignment horizontal="center"/>
    </xf>
    <xf numFmtId="0" fontId="0" fillId="0" borderId="9" xfId="0" applyBorder="1" applyAlignment="1">
      <alignment horizontal="center"/>
    </xf>
    <xf numFmtId="0" fontId="0" fillId="0" borderId="0" xfId="0" applyFill="1" applyBorder="1" applyAlignment="1">
      <alignment horizontal="center"/>
    </xf>
    <xf numFmtId="0" fontId="5" fillId="0" borderId="12" xfId="0" applyFont="1" applyBorder="1" applyAlignment="1">
      <alignment horizontal="center"/>
    </xf>
    <xf numFmtId="0" fontId="0" fillId="0" borderId="0" xfId="0" applyBorder="1" applyAlignment="1">
      <alignment horizontal="center"/>
    </xf>
    <xf numFmtId="0" fontId="10" fillId="0" borderId="0" xfId="0" applyFont="1" applyAlignment="1">
      <alignment horizontal="center"/>
    </xf>
    <xf numFmtId="0" fontId="10" fillId="0" borderId="0" xfId="0" applyFont="1" applyAlignment="1"/>
    <xf numFmtId="2" fontId="0" fillId="0" borderId="0" xfId="0" applyNumberFormat="1"/>
    <xf numFmtId="0" fontId="0" fillId="0" borderId="0" xfId="0" applyFill="1" applyBorder="1"/>
    <xf numFmtId="0" fontId="8" fillId="0" borderId="0" xfId="0" applyFont="1" applyFill="1" applyBorder="1"/>
    <xf numFmtId="0" fontId="3" fillId="0" borderId="0" xfId="0" applyFont="1" applyFill="1" applyBorder="1" applyProtection="1">
      <protection locked="0"/>
    </xf>
    <xf numFmtId="0" fontId="4" fillId="0" borderId="27" xfId="0" applyFont="1" applyBorder="1" applyAlignment="1">
      <alignment horizontal="center"/>
    </xf>
    <xf numFmtId="0" fontId="3" fillId="2" borderId="27" xfId="0" applyFont="1" applyFill="1" applyBorder="1" applyAlignment="1" applyProtection="1">
      <alignment horizontal="center"/>
      <protection locked="0"/>
    </xf>
    <xf numFmtId="0" fontId="2" fillId="2" borderId="9" xfId="0" applyFont="1" applyFill="1" applyBorder="1" applyAlignment="1">
      <alignment horizontal="center"/>
    </xf>
    <xf numFmtId="0" fontId="2" fillId="2" borderId="9" xfId="0" applyFont="1" applyFill="1" applyBorder="1" applyAlignment="1">
      <alignment horizontal="center"/>
    </xf>
    <xf numFmtId="0" fontId="0" fillId="0" borderId="9" xfId="0" applyBorder="1" applyAlignment="1" applyProtection="1">
      <alignment horizontal="center"/>
      <protection locked="0"/>
    </xf>
    <xf numFmtId="0" fontId="0" fillId="0" borderId="29" xfId="0" applyBorder="1"/>
    <xf numFmtId="0" fontId="0" fillId="0" borderId="30" xfId="0" applyBorder="1"/>
    <xf numFmtId="0" fontId="0" fillId="0" borderId="29" xfId="0" applyBorder="1" applyAlignment="1">
      <alignment horizontal="left"/>
    </xf>
    <xf numFmtId="0" fontId="0" fillId="0" borderId="30" xfId="0" applyBorder="1" applyAlignment="1">
      <alignment horizontal="center"/>
    </xf>
    <xf numFmtId="0" fontId="6" fillId="0" borderId="9" xfId="1" applyBorder="1" applyAlignment="1">
      <alignment horizontal="center"/>
    </xf>
    <xf numFmtId="0" fontId="1" fillId="0" borderId="9" xfId="0" applyFont="1" applyBorder="1" applyAlignment="1">
      <alignment horizontal="center"/>
    </xf>
    <xf numFmtId="0" fontId="0" fillId="0" borderId="0" xfId="0" applyBorder="1" applyAlignment="1">
      <alignment horizontal="left"/>
    </xf>
    <xf numFmtId="0" fontId="6" fillId="0" borderId="0" xfId="2" applyAlignment="1">
      <alignment horizontal="center" vertical="center" wrapText="1"/>
    </xf>
    <xf numFmtId="0" fontId="6" fillId="0" borderId="0" xfId="2"/>
    <xf numFmtId="0" fontId="6" fillId="0" borderId="0" xfId="1"/>
    <xf numFmtId="0" fontId="4" fillId="0" borderId="0" xfId="0" applyFont="1" applyBorder="1" applyAlignment="1">
      <alignment horizontal="right"/>
    </xf>
    <xf numFmtId="0" fontId="3" fillId="0" borderId="9" xfId="0" applyFont="1" applyBorder="1"/>
    <xf numFmtId="0" fontId="4" fillId="0" borderId="9" xfId="0" applyFont="1" applyBorder="1" applyAlignment="1">
      <alignment horizontal="center" vertical="center"/>
    </xf>
    <xf numFmtId="0" fontId="4" fillId="0" borderId="20" xfId="0" applyFont="1" applyBorder="1" applyAlignment="1">
      <alignment horizontal="center" vertical="center"/>
    </xf>
    <xf numFmtId="0" fontId="3" fillId="2" borderId="9" xfId="0" applyFont="1" applyFill="1" applyBorder="1" applyAlignment="1" applyProtection="1">
      <alignment horizontal="center" vertical="center"/>
      <protection locked="0"/>
    </xf>
    <xf numFmtId="0" fontId="3" fillId="2" borderId="20" xfId="0" applyFont="1" applyFill="1" applyBorder="1" applyAlignment="1" applyProtection="1">
      <alignment horizontal="center" vertical="center"/>
      <protection locked="0"/>
    </xf>
    <xf numFmtId="0" fontId="12" fillId="0" borderId="0" xfId="0" applyFont="1" applyFill="1" applyBorder="1" applyAlignment="1">
      <alignment horizontal="center"/>
    </xf>
    <xf numFmtId="0" fontId="8" fillId="0" borderId="0" xfId="0" applyFont="1" applyFill="1" applyBorder="1" applyAlignment="1" applyProtection="1">
      <alignment horizontal="center" vertical="center"/>
    </xf>
    <xf numFmtId="0" fontId="2" fillId="0" borderId="0" xfId="0" applyFont="1" applyFill="1" applyBorder="1"/>
    <xf numFmtId="0" fontId="0" fillId="0" borderId="0" xfId="0" applyFill="1" applyBorder="1" applyProtection="1"/>
    <xf numFmtId="0" fontId="9" fillId="0" borderId="0" xfId="0" applyFont="1" applyFill="1" applyBorder="1" applyProtection="1"/>
    <xf numFmtId="164" fontId="7" fillId="0" borderId="0" xfId="0" applyNumberFormat="1" applyFont="1" applyFill="1" applyBorder="1" applyProtection="1"/>
    <xf numFmtId="0" fontId="5" fillId="0" borderId="0" xfId="0" applyFont="1" applyFill="1" applyBorder="1" applyProtection="1"/>
    <xf numFmtId="0" fontId="4" fillId="0" borderId="0" xfId="0" applyFont="1" applyFill="1" applyBorder="1"/>
    <xf numFmtId="0" fontId="4" fillId="0" borderId="0" xfId="0" applyFont="1" applyFill="1" applyBorder="1" applyAlignment="1">
      <alignment horizontal="right" vertical="center"/>
    </xf>
    <xf numFmtId="0" fontId="6" fillId="0" borderId="0" xfId="0" applyFont="1" applyBorder="1"/>
    <xf numFmtId="0" fontId="6" fillId="0" borderId="0" xfId="0" applyFont="1" applyFill="1" applyBorder="1" applyAlignment="1">
      <alignment horizontal="center"/>
    </xf>
    <xf numFmtId="0" fontId="10" fillId="0" borderId="0" xfId="0" applyFont="1" applyAlignment="1">
      <alignment horizontal="center"/>
    </xf>
    <xf numFmtId="1" fontId="3" fillId="0" borderId="19" xfId="0" applyNumberFormat="1" applyFont="1" applyBorder="1" applyAlignment="1">
      <alignment horizontal="center"/>
    </xf>
    <xf numFmtId="1" fontId="3" fillId="0" borderId="20" xfId="0" applyNumberFormat="1" applyFont="1" applyBorder="1" applyAlignment="1">
      <alignment horizontal="center"/>
    </xf>
    <xf numFmtId="1" fontId="3" fillId="0" borderId="19" xfId="0" applyNumberFormat="1" applyFont="1" applyFill="1" applyBorder="1" applyAlignment="1" applyProtection="1">
      <alignment horizontal="center"/>
      <protection locked="0"/>
    </xf>
    <xf numFmtId="1" fontId="3" fillId="0" borderId="20" xfId="0" applyNumberFormat="1" applyFont="1" applyFill="1" applyBorder="1" applyAlignment="1" applyProtection="1">
      <alignment horizontal="center"/>
      <protection locked="0"/>
    </xf>
    <xf numFmtId="1" fontId="3" fillId="2" borderId="25" xfId="0" applyNumberFormat="1" applyFont="1" applyFill="1" applyBorder="1" applyAlignment="1" applyProtection="1">
      <alignment horizontal="center"/>
      <protection locked="0"/>
    </xf>
    <xf numFmtId="1" fontId="3" fillId="2" borderId="26" xfId="0" applyNumberFormat="1" applyFont="1" applyFill="1" applyBorder="1" applyAlignment="1" applyProtection="1">
      <alignment horizontal="center"/>
      <protection locked="0"/>
    </xf>
    <xf numFmtId="0" fontId="4" fillId="0" borderId="0" xfId="0" applyFont="1" applyBorder="1" applyAlignment="1">
      <alignment horizontal="right"/>
    </xf>
    <xf numFmtId="0" fontId="4" fillId="0" borderId="17" xfId="0" applyFont="1" applyBorder="1" applyAlignment="1">
      <alignment horizontal="center"/>
    </xf>
    <xf numFmtId="0" fontId="4" fillId="0" borderId="18" xfId="0" applyFont="1" applyBorder="1" applyAlignment="1">
      <alignment horizontal="center"/>
    </xf>
    <xf numFmtId="1" fontId="3" fillId="3" borderId="19" xfId="0" applyNumberFormat="1" applyFont="1" applyFill="1" applyBorder="1" applyAlignment="1" applyProtection="1">
      <alignment horizontal="center"/>
      <protection locked="0"/>
    </xf>
    <xf numFmtId="1" fontId="3" fillId="3" borderId="20" xfId="0" applyNumberFormat="1" applyFont="1" applyFill="1" applyBorder="1" applyAlignment="1" applyProtection="1">
      <alignment horizontal="center"/>
      <protection locked="0"/>
    </xf>
    <xf numFmtId="0" fontId="3" fillId="2" borderId="23" xfId="0" applyFont="1" applyFill="1" applyBorder="1" applyAlignment="1" applyProtection="1">
      <alignment horizontal="left"/>
      <protection locked="0"/>
    </xf>
    <xf numFmtId="0" fontId="3" fillId="2" borderId="24" xfId="0" applyFont="1" applyFill="1" applyBorder="1" applyAlignment="1" applyProtection="1">
      <alignment horizontal="left"/>
      <protection locked="0"/>
    </xf>
    <xf numFmtId="0" fontId="4" fillId="0" borderId="1" xfId="0" applyFont="1" applyBorder="1" applyAlignment="1">
      <alignment horizontal="right"/>
    </xf>
    <xf numFmtId="0" fontId="8" fillId="0" borderId="0" xfId="0" applyFont="1" applyFill="1" applyBorder="1" applyAlignment="1">
      <alignment horizontal="center" vertical="center"/>
    </xf>
    <xf numFmtId="0" fontId="14" fillId="0" borderId="0" xfId="0" applyFont="1" applyFill="1" applyBorder="1" applyAlignment="1">
      <alignment horizontal="center" vertical="center"/>
    </xf>
    <xf numFmtId="0" fontId="8" fillId="0" borderId="0" xfId="0" applyFont="1" applyFill="1" applyBorder="1" applyAlignment="1" applyProtection="1">
      <alignment horizontal="center" vertical="center"/>
    </xf>
    <xf numFmtId="0" fontId="2" fillId="2" borderId="9" xfId="0" applyFont="1" applyFill="1" applyBorder="1" applyAlignment="1">
      <alignment horizontal="center"/>
    </xf>
    <xf numFmtId="0" fontId="12" fillId="0" borderId="0" xfId="0" applyFont="1" applyFill="1" applyBorder="1" applyAlignment="1">
      <alignment horizontal="center"/>
    </xf>
    <xf numFmtId="0" fontId="3" fillId="0" borderId="19" xfId="0" applyFont="1" applyBorder="1" applyAlignment="1">
      <alignment horizontal="right"/>
    </xf>
    <xf numFmtId="0" fontId="3" fillId="0" borderId="20" xfId="0" applyFont="1" applyBorder="1" applyAlignment="1">
      <alignment horizontal="right"/>
    </xf>
    <xf numFmtId="0" fontId="11" fillId="0" borderId="0" xfId="0" applyFont="1" applyFill="1" applyBorder="1" applyAlignment="1">
      <alignment horizontal="center"/>
    </xf>
    <xf numFmtId="0" fontId="3" fillId="2" borderId="21" xfId="0" applyFont="1" applyFill="1" applyBorder="1" applyAlignment="1" applyProtection="1">
      <alignment horizontal="left"/>
      <protection locked="0"/>
    </xf>
    <xf numFmtId="0" fontId="3" fillId="2" borderId="22" xfId="0" applyFont="1" applyFill="1" applyBorder="1" applyAlignment="1" applyProtection="1">
      <alignment horizontal="left"/>
      <protection locked="0"/>
    </xf>
    <xf numFmtId="0" fontId="13" fillId="0" borderId="28" xfId="0" applyFont="1" applyBorder="1" applyAlignment="1">
      <alignment horizontal="center"/>
    </xf>
    <xf numFmtId="0" fontId="13" fillId="0" borderId="21" xfId="0" applyFont="1" applyBorder="1" applyAlignment="1">
      <alignment horizontal="center"/>
    </xf>
    <xf numFmtId="0" fontId="6" fillId="0" borderId="0" xfId="0" applyFont="1" applyFill="1" applyBorder="1" applyAlignment="1">
      <alignment horizontal="center" vertical="center" wrapText="1"/>
    </xf>
    <xf numFmtId="0" fontId="4" fillId="0" borderId="0" xfId="0" applyFont="1" applyFill="1" applyBorder="1" applyAlignment="1">
      <alignment horizontal="right"/>
    </xf>
    <xf numFmtId="14" fontId="3" fillId="2" borderId="23" xfId="0" applyNumberFormat="1" applyFont="1" applyFill="1" applyBorder="1" applyAlignment="1" applyProtection="1">
      <alignment horizontal="left"/>
      <protection locked="0"/>
    </xf>
    <xf numFmtId="0" fontId="4" fillId="0" borderId="5" xfId="0" applyFont="1" applyBorder="1" applyAlignment="1">
      <alignment horizontal="right"/>
    </xf>
  </cellXfs>
  <cellStyles count="3">
    <cellStyle name="Normal" xfId="0" builtinId="0"/>
    <cellStyle name="Normal 2" xfId="2" xr:uid="{85802CD1-39CD-4AB2-A73A-29EEFE4BC2AD}"/>
    <cellStyle name="Normal 3" xfId="1" xr:uid="{4CB5C318-B6EF-4FEC-93FF-7DD8739490F7}"/>
  </cellStyles>
  <dxfs count="2"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9" defaultPivotStyle="PivotStyleLight16"/>
  <colors>
    <mruColors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457200</xdr:colOff>
      <xdr:row>0</xdr:row>
      <xdr:rowOff>114301</xdr:rowOff>
    </xdr:from>
    <xdr:to>
      <xdr:col>4</xdr:col>
      <xdr:colOff>19050</xdr:colOff>
      <xdr:row>0</xdr:row>
      <xdr:rowOff>2647951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2806748C-7D09-46BE-B2DB-C3371A3A51CE}"/>
            </a:ext>
          </a:extLst>
        </xdr:cNvPr>
        <xdr:cNvGrpSpPr/>
      </xdr:nvGrpSpPr>
      <xdr:grpSpPr>
        <a:xfrm>
          <a:off x="1066800" y="114301"/>
          <a:ext cx="1390650" cy="2533650"/>
          <a:chOff x="4800600" y="447675"/>
          <a:chExt cx="1809750" cy="2362200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175EF9BD-097E-A8A3-69B0-94E2050DD42E}"/>
              </a:ext>
            </a:extLst>
          </xdr:cNvPr>
          <xdr:cNvSpPr/>
        </xdr:nvSpPr>
        <xdr:spPr>
          <a:xfrm>
            <a:off x="5172075" y="771525"/>
            <a:ext cx="1057275" cy="1714500"/>
          </a:xfrm>
          <a:prstGeom prst="rect">
            <a:avLst/>
          </a:prstGeom>
          <a:solidFill>
            <a:schemeClr val="bg1">
              <a:lumMod val="75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endParaRPr lang="en-US" sz="1100"/>
          </a:p>
        </xdr:txBody>
      </xdr:sp>
      <xdr:sp macro="" textlink="">
        <xdr:nvSpPr>
          <xdr:cNvPr id="4" name="Rounded Rectangle 2">
            <a:extLst>
              <a:ext uri="{FF2B5EF4-FFF2-40B4-BE49-F238E27FC236}">
                <a16:creationId xmlns:a16="http://schemas.microsoft.com/office/drawing/2014/main" id="{A74FEA3A-BF8B-C559-BB7A-006513C9A867}"/>
              </a:ext>
            </a:extLst>
          </xdr:cNvPr>
          <xdr:cNvSpPr/>
        </xdr:nvSpPr>
        <xdr:spPr>
          <a:xfrm>
            <a:off x="5229225" y="847725"/>
            <a:ext cx="952500" cy="790575"/>
          </a:xfrm>
          <a:prstGeom prst="roundRect">
            <a:avLst/>
          </a:prstGeom>
          <a:solidFill>
            <a:schemeClr val="bg1">
              <a:lumMod val="5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r>
              <a:rPr lang="en-US" sz="1100"/>
              <a:t>Blower</a:t>
            </a:r>
          </a:p>
        </xdr:txBody>
      </xdr:sp>
      <xdr:sp macro="" textlink="">
        <xdr:nvSpPr>
          <xdr:cNvPr id="5" name="Rounded Rectangle 3">
            <a:extLst>
              <a:ext uri="{FF2B5EF4-FFF2-40B4-BE49-F238E27FC236}">
                <a16:creationId xmlns:a16="http://schemas.microsoft.com/office/drawing/2014/main" id="{1A1D7C13-7B45-C53B-0F82-A1DCC52C8EB9}"/>
              </a:ext>
            </a:extLst>
          </xdr:cNvPr>
          <xdr:cNvSpPr/>
        </xdr:nvSpPr>
        <xdr:spPr>
          <a:xfrm>
            <a:off x="5524500" y="1990725"/>
            <a:ext cx="647700" cy="438150"/>
          </a:xfrm>
          <a:prstGeom prst="roundRect">
            <a:avLst/>
          </a:prstGeom>
        </xdr:spPr>
        <xdr:style>
          <a:lnRef idx="2">
            <a:schemeClr val="accent5">
              <a:shade val="50000"/>
            </a:schemeClr>
          </a:lnRef>
          <a:fillRef idx="1">
            <a:schemeClr val="accent5"/>
          </a:fillRef>
          <a:effectRef idx="0">
            <a:schemeClr val="accent5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r>
              <a:rPr lang="en-US" sz="1100"/>
              <a:t>Motor</a:t>
            </a:r>
          </a:p>
        </xdr:txBody>
      </xdr:sp>
      <xdr:sp macro="" textlink="">
        <xdr:nvSpPr>
          <xdr:cNvPr id="6" name="TextBox 5">
            <a:extLst>
              <a:ext uri="{FF2B5EF4-FFF2-40B4-BE49-F238E27FC236}">
                <a16:creationId xmlns:a16="http://schemas.microsoft.com/office/drawing/2014/main" id="{EA9D1F2F-329A-93A0-4B1D-122DCDC9F1AC}"/>
              </a:ext>
            </a:extLst>
          </xdr:cNvPr>
          <xdr:cNvSpPr txBox="1"/>
        </xdr:nvSpPr>
        <xdr:spPr>
          <a:xfrm>
            <a:off x="5276851" y="447675"/>
            <a:ext cx="988218" cy="257175"/>
          </a:xfrm>
          <a:prstGeom prst="rect">
            <a:avLst/>
          </a:prstGeom>
          <a:solidFill>
            <a:schemeClr val="bg1"/>
          </a:solidFill>
          <a:ln w="9525" cmpd="sng">
            <a:solidFill>
              <a:schemeClr val="bg1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wrap="square" rtlCol="0" anchor="t"/>
          <a:lstStyle/>
          <a:p>
            <a:r>
              <a:rPr lang="en-US" sz="1100"/>
              <a:t>Discharge</a:t>
            </a:r>
          </a:p>
        </xdr:txBody>
      </xdr:sp>
      <xdr:sp macro="" textlink="">
        <xdr:nvSpPr>
          <xdr:cNvPr id="7" name="TextBox 6">
            <a:extLst>
              <a:ext uri="{FF2B5EF4-FFF2-40B4-BE49-F238E27FC236}">
                <a16:creationId xmlns:a16="http://schemas.microsoft.com/office/drawing/2014/main" id="{EF1CC760-4B45-0D59-9409-9B1F670977C7}"/>
              </a:ext>
            </a:extLst>
          </xdr:cNvPr>
          <xdr:cNvSpPr txBox="1"/>
        </xdr:nvSpPr>
        <xdr:spPr>
          <a:xfrm>
            <a:off x="5395913" y="2552700"/>
            <a:ext cx="762000" cy="257175"/>
          </a:xfrm>
          <a:prstGeom prst="rect">
            <a:avLst/>
          </a:prstGeom>
          <a:solidFill>
            <a:schemeClr val="bg1"/>
          </a:solidFill>
          <a:ln w="9525" cmpd="sng">
            <a:solidFill>
              <a:schemeClr val="bg1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wrap="square" rtlCol="0" anchor="t"/>
          <a:lstStyle/>
          <a:p>
            <a:r>
              <a:rPr lang="en-US" sz="1100"/>
              <a:t>Inlet</a:t>
            </a:r>
          </a:p>
        </xdr:txBody>
      </xdr:sp>
      <xdr:sp macro="" textlink="">
        <xdr:nvSpPr>
          <xdr:cNvPr id="8" name="Rectangle 7">
            <a:extLst>
              <a:ext uri="{FF2B5EF4-FFF2-40B4-BE49-F238E27FC236}">
                <a16:creationId xmlns:a16="http://schemas.microsoft.com/office/drawing/2014/main" id="{96CAA237-292A-BFC1-9704-C270DDC31191}"/>
              </a:ext>
            </a:extLst>
          </xdr:cNvPr>
          <xdr:cNvSpPr/>
        </xdr:nvSpPr>
        <xdr:spPr>
          <a:xfrm>
            <a:off x="4800600" y="869282"/>
            <a:ext cx="371475" cy="273718"/>
          </a:xfrm>
          <a:prstGeom prst="rect">
            <a:avLst/>
          </a:prstGeom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r>
              <a:rPr lang="en-US" sz="1100"/>
              <a:t>C</a:t>
            </a:r>
          </a:p>
        </xdr:txBody>
      </xdr:sp>
      <xdr:sp macro="" textlink="">
        <xdr:nvSpPr>
          <xdr:cNvPr id="9" name="Rectangle 8">
            <a:extLst>
              <a:ext uri="{FF2B5EF4-FFF2-40B4-BE49-F238E27FC236}">
                <a16:creationId xmlns:a16="http://schemas.microsoft.com/office/drawing/2014/main" id="{77AC1FA6-0DEF-FEB3-E114-2E965A75A8A4}"/>
              </a:ext>
            </a:extLst>
          </xdr:cNvPr>
          <xdr:cNvSpPr/>
        </xdr:nvSpPr>
        <xdr:spPr>
          <a:xfrm>
            <a:off x="6238875" y="869282"/>
            <a:ext cx="371475" cy="273718"/>
          </a:xfrm>
          <a:prstGeom prst="rect">
            <a:avLst/>
          </a:prstGeom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r>
              <a:rPr lang="en-US" sz="1100"/>
              <a:t>D</a:t>
            </a:r>
          </a:p>
        </xdr:txBody>
      </xdr:sp>
      <xdr:sp macro="" textlink="">
        <xdr:nvSpPr>
          <xdr:cNvPr id="10" name="Rectangle 9">
            <a:extLst>
              <a:ext uri="{FF2B5EF4-FFF2-40B4-BE49-F238E27FC236}">
                <a16:creationId xmlns:a16="http://schemas.microsoft.com/office/drawing/2014/main" id="{90F4EEDE-C81B-9D93-71B6-4948F7C1866F}"/>
              </a:ext>
            </a:extLst>
          </xdr:cNvPr>
          <xdr:cNvSpPr/>
        </xdr:nvSpPr>
        <xdr:spPr>
          <a:xfrm>
            <a:off x="6238875" y="2174207"/>
            <a:ext cx="371475" cy="273718"/>
          </a:xfrm>
          <a:prstGeom prst="rect">
            <a:avLst/>
          </a:prstGeom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r>
              <a:rPr lang="en-US" sz="1100"/>
              <a:t>B</a:t>
            </a:r>
          </a:p>
        </xdr:txBody>
      </xdr:sp>
      <xdr:sp macro="" textlink="">
        <xdr:nvSpPr>
          <xdr:cNvPr id="11" name="Rectangle 10">
            <a:extLst>
              <a:ext uri="{FF2B5EF4-FFF2-40B4-BE49-F238E27FC236}">
                <a16:creationId xmlns:a16="http://schemas.microsoft.com/office/drawing/2014/main" id="{932A1EC8-A701-15C1-86BA-CD02A07AED6B}"/>
              </a:ext>
            </a:extLst>
          </xdr:cNvPr>
          <xdr:cNvSpPr/>
        </xdr:nvSpPr>
        <xdr:spPr>
          <a:xfrm>
            <a:off x="4800600" y="2174207"/>
            <a:ext cx="371475" cy="273718"/>
          </a:xfrm>
          <a:prstGeom prst="rect">
            <a:avLst/>
          </a:prstGeom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r>
              <a:rPr lang="en-US" sz="1100"/>
              <a:t>A</a:t>
            </a:r>
          </a:p>
        </xdr:txBody>
      </xdr:sp>
    </xdr:grp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1:AM59"/>
  <sheetViews>
    <sheetView tabSelected="1" workbookViewId="0">
      <selection activeCell="G13" sqref="G13"/>
    </sheetView>
  </sheetViews>
  <sheetFormatPr defaultRowHeight="12.75" x14ac:dyDescent="0.2"/>
  <cols>
    <col min="1" max="1" width="15.5703125" customWidth="1"/>
    <col min="2" max="2" width="14.42578125" bestFit="1" customWidth="1"/>
    <col min="3" max="3" width="13.85546875" customWidth="1"/>
    <col min="4" max="4" width="15.28515625" bestFit="1" customWidth="1"/>
    <col min="5" max="7" width="14.7109375" customWidth="1"/>
    <col min="8" max="8" width="6.7109375" hidden="1" customWidth="1"/>
    <col min="9" max="9" width="7" hidden="1" customWidth="1"/>
    <col min="10" max="10" width="3.140625" hidden="1" customWidth="1"/>
    <col min="11" max="11" width="5.5703125" style="33" hidden="1" customWidth="1"/>
    <col min="12" max="12" width="7.85546875" style="33" hidden="1" customWidth="1"/>
    <col min="13" max="13" width="14.28515625" style="33" hidden="1" customWidth="1"/>
    <col min="14" max="14" width="4" style="33" hidden="1" customWidth="1"/>
    <col min="15" max="15" width="1.7109375" hidden="1" customWidth="1"/>
    <col min="16" max="16" width="5.5703125" hidden="1" customWidth="1"/>
    <col min="17" max="17" width="7.85546875" hidden="1" customWidth="1"/>
    <col min="18" max="18" width="6" hidden="1" customWidth="1"/>
    <col min="19" max="19" width="6.85546875" hidden="1" customWidth="1"/>
    <col min="20" max="20" width="10.5703125" hidden="1" customWidth="1"/>
    <col min="21" max="21" width="8.42578125" customWidth="1"/>
    <col min="22" max="22" width="8.5703125" hidden="1" customWidth="1"/>
    <col min="23" max="23" width="10.7109375" customWidth="1"/>
    <col min="24" max="24" width="12.28515625" customWidth="1"/>
    <col min="25" max="25" width="14" bestFit="1" customWidth="1"/>
    <col min="26" max="26" width="14.85546875" bestFit="1" customWidth="1"/>
    <col min="27" max="28" width="14.7109375" bestFit="1" customWidth="1"/>
    <col min="29" max="30" width="14" bestFit="1" customWidth="1"/>
    <col min="31" max="32" width="15" bestFit="1" customWidth="1"/>
    <col min="33" max="33" width="20.28515625" customWidth="1"/>
    <col min="34" max="34" width="15" bestFit="1" customWidth="1"/>
    <col min="35" max="35" width="35.28515625" bestFit="1" customWidth="1"/>
    <col min="36" max="39" width="17.28515625" bestFit="1" customWidth="1"/>
  </cols>
  <sheetData>
    <row r="1" spans="1:33" ht="20.100000000000001" customHeight="1" x14ac:dyDescent="0.25">
      <c r="A1" s="104" t="s">
        <v>112</v>
      </c>
      <c r="B1" s="105"/>
      <c r="C1" s="93" t="s">
        <v>0</v>
      </c>
      <c r="D1" s="93"/>
      <c r="E1" s="102"/>
      <c r="F1" s="102"/>
      <c r="G1" s="103"/>
      <c r="H1" s="27" t="s">
        <v>22</v>
      </c>
      <c r="K1" s="34" t="s">
        <v>24</v>
      </c>
      <c r="L1" s="34" t="s">
        <v>33</v>
      </c>
      <c r="M1" s="35" t="s">
        <v>35</v>
      </c>
      <c r="N1" s="33">
        <f>IF(B2="Nat Gas",0.7,0.9)</f>
        <v>0.9</v>
      </c>
      <c r="Q1" s="79" t="s">
        <v>38</v>
      </c>
      <c r="R1" s="79"/>
      <c r="S1" s="41" t="s">
        <v>39</v>
      </c>
      <c r="T1" s="41" t="s">
        <v>40</v>
      </c>
      <c r="AE1" s="44"/>
      <c r="AF1" s="44"/>
      <c r="AG1" s="44"/>
    </row>
    <row r="2" spans="1:33" ht="20.100000000000001" customHeight="1" x14ac:dyDescent="0.3">
      <c r="A2" s="30"/>
      <c r="B2" s="30"/>
      <c r="C2" s="86" t="s">
        <v>15</v>
      </c>
      <c r="D2" s="86"/>
      <c r="E2" s="91"/>
      <c r="F2" s="91"/>
      <c r="G2" s="92"/>
      <c r="H2" s="27"/>
      <c r="K2" s="34" t="s">
        <v>25</v>
      </c>
      <c r="L2" s="34" t="s">
        <v>34</v>
      </c>
      <c r="M2" s="34" t="s">
        <v>36</v>
      </c>
      <c r="Q2" s="34" t="s">
        <v>33</v>
      </c>
      <c r="R2" s="34" t="s">
        <v>34</v>
      </c>
      <c r="S2" s="37" t="e">
        <f>VLOOKUP(A2,P3:S11,4,FALSE)</f>
        <v>#N/A</v>
      </c>
      <c r="T2" s="33"/>
      <c r="AE2" s="95"/>
      <c r="AF2" s="95"/>
      <c r="AG2" s="95"/>
    </row>
    <row r="3" spans="1:33" ht="20.100000000000001" customHeight="1" x14ac:dyDescent="0.3">
      <c r="A3" s="97"/>
      <c r="B3" s="97"/>
      <c r="C3" s="86" t="s">
        <v>16</v>
      </c>
      <c r="D3" s="86"/>
      <c r="E3" s="91"/>
      <c r="F3" s="91"/>
      <c r="G3" s="92"/>
      <c r="K3" s="34" t="s">
        <v>26</v>
      </c>
      <c r="M3" s="34" t="s">
        <v>37</v>
      </c>
      <c r="P3" s="34" t="s">
        <v>24</v>
      </c>
      <c r="Q3" s="33">
        <v>1800</v>
      </c>
      <c r="R3" s="33">
        <v>2300</v>
      </c>
      <c r="S3" s="33">
        <v>2011</v>
      </c>
      <c r="T3" s="33">
        <v>3300</v>
      </c>
      <c r="AE3" s="107"/>
      <c r="AF3" s="107"/>
      <c r="AG3" s="76"/>
    </row>
    <row r="4" spans="1:33" ht="20.100000000000001" customHeight="1" x14ac:dyDescent="0.3">
      <c r="A4" s="29" t="s">
        <v>43</v>
      </c>
      <c r="B4" s="49"/>
      <c r="C4" s="86" t="s">
        <v>19</v>
      </c>
      <c r="D4" s="86"/>
      <c r="E4" s="108"/>
      <c r="F4" s="91"/>
      <c r="G4" s="92"/>
      <c r="K4" s="34" t="s">
        <v>27</v>
      </c>
      <c r="P4" s="34" t="s">
        <v>25</v>
      </c>
      <c r="Q4" s="33">
        <v>2100</v>
      </c>
      <c r="R4" s="33">
        <v>2700</v>
      </c>
      <c r="S4" s="33">
        <v>2016</v>
      </c>
      <c r="T4" s="33">
        <v>4200</v>
      </c>
      <c r="AE4" s="107"/>
      <c r="AF4" s="107"/>
      <c r="AG4" s="76"/>
    </row>
    <row r="5" spans="1:33" ht="20.100000000000001" customHeight="1" x14ac:dyDescent="0.3">
      <c r="A5" s="9" t="s">
        <v>44</v>
      </c>
      <c r="B5" s="50"/>
      <c r="C5" s="86" t="s">
        <v>21</v>
      </c>
      <c r="D5" s="86"/>
      <c r="E5" s="91"/>
      <c r="F5" s="91"/>
      <c r="G5" s="92"/>
      <c r="K5" s="34" t="s">
        <v>28</v>
      </c>
      <c r="P5" s="34" t="s">
        <v>26</v>
      </c>
      <c r="Q5" s="33">
        <v>3300</v>
      </c>
      <c r="R5" s="33">
        <v>4100</v>
      </c>
      <c r="S5" s="33">
        <v>2014</v>
      </c>
      <c r="T5" s="33">
        <v>7600</v>
      </c>
      <c r="AE5" s="107"/>
      <c r="AF5" s="107"/>
      <c r="AG5" s="76"/>
    </row>
    <row r="6" spans="1:33" ht="18" x14ac:dyDescent="0.25">
      <c r="A6" s="1"/>
      <c r="B6" s="2"/>
      <c r="C6" s="2"/>
      <c r="D6" s="2"/>
      <c r="E6" s="2"/>
      <c r="F6" s="2"/>
      <c r="G6" s="3"/>
      <c r="K6" s="34" t="s">
        <v>29</v>
      </c>
      <c r="P6" s="34" t="s">
        <v>27</v>
      </c>
      <c r="Q6" s="33">
        <v>4500</v>
      </c>
      <c r="R6" s="33">
        <v>5500</v>
      </c>
      <c r="S6" s="33">
        <v>2019</v>
      </c>
      <c r="T6" s="33">
        <v>11000</v>
      </c>
      <c r="AE6" s="107"/>
      <c r="AF6" s="107"/>
      <c r="AG6" s="76"/>
    </row>
    <row r="7" spans="1:33" ht="18" customHeight="1" x14ac:dyDescent="0.25">
      <c r="A7" s="19" t="s">
        <v>1</v>
      </c>
      <c r="B7" s="64" t="s">
        <v>4</v>
      </c>
      <c r="C7" s="65" t="s">
        <v>111</v>
      </c>
      <c r="D7" s="20" t="s">
        <v>3</v>
      </c>
      <c r="E7" s="20" t="s">
        <v>2</v>
      </c>
      <c r="F7" s="20" t="s">
        <v>5</v>
      </c>
      <c r="G7" s="47" t="s">
        <v>23</v>
      </c>
      <c r="K7" s="34" t="s">
        <v>30</v>
      </c>
      <c r="P7" s="34" t="s">
        <v>28</v>
      </c>
      <c r="Q7" s="33">
        <v>6600</v>
      </c>
      <c r="R7" s="33">
        <v>7800</v>
      </c>
      <c r="S7" s="33">
        <v>3023</v>
      </c>
      <c r="T7" s="38">
        <v>18000</v>
      </c>
      <c r="AE7" s="107"/>
      <c r="AF7" s="107"/>
      <c r="AG7" s="76"/>
    </row>
    <row r="8" spans="1:33" ht="18" customHeight="1" x14ac:dyDescent="0.25">
      <c r="A8" s="28"/>
      <c r="B8" s="66"/>
      <c r="C8" s="67"/>
      <c r="D8" s="25"/>
      <c r="E8" s="25"/>
      <c r="F8" s="25"/>
      <c r="G8" s="48"/>
      <c r="K8" s="34" t="s">
        <v>31</v>
      </c>
      <c r="P8" s="34" t="s">
        <v>29</v>
      </c>
      <c r="Q8" s="33">
        <v>8800</v>
      </c>
      <c r="R8" s="33">
        <v>10000</v>
      </c>
      <c r="S8" s="33">
        <v>17008</v>
      </c>
      <c r="T8" s="38">
        <v>27000</v>
      </c>
      <c r="AE8" s="107"/>
      <c r="AF8" s="107"/>
      <c r="AG8" s="76"/>
    </row>
    <row r="9" spans="1:33" ht="18" customHeight="1" x14ac:dyDescent="0.25">
      <c r="A9" s="5"/>
      <c r="B9" s="6"/>
      <c r="C9" s="6"/>
      <c r="D9" s="6"/>
      <c r="E9" s="6"/>
      <c r="F9" s="6"/>
      <c r="G9" s="24"/>
      <c r="K9" s="34" t="s">
        <v>32</v>
      </c>
      <c r="P9" s="34" t="s">
        <v>30</v>
      </c>
      <c r="Q9" s="33">
        <v>11000</v>
      </c>
      <c r="R9" s="33">
        <v>12500</v>
      </c>
      <c r="S9" s="33">
        <v>17016</v>
      </c>
      <c r="T9" s="38">
        <v>38000</v>
      </c>
      <c r="AE9" s="107"/>
      <c r="AF9" s="107"/>
      <c r="AG9" s="76"/>
    </row>
    <row r="10" spans="1:33" ht="21.95" customHeight="1" thickBot="1" x14ac:dyDescent="0.3">
      <c r="A10" s="21" t="s">
        <v>6</v>
      </c>
      <c r="B10" s="87" t="s">
        <v>7</v>
      </c>
      <c r="C10" s="88"/>
      <c r="D10" s="22" t="s">
        <v>109</v>
      </c>
      <c r="E10" s="22" t="s">
        <v>8</v>
      </c>
      <c r="F10" s="22" t="s">
        <v>9</v>
      </c>
      <c r="G10" s="23" t="s">
        <v>17</v>
      </c>
      <c r="L10" s="42"/>
      <c r="M10" s="42"/>
      <c r="N10" s="36"/>
      <c r="O10" s="36"/>
      <c r="P10" s="34" t="s">
        <v>31</v>
      </c>
      <c r="Q10" s="33">
        <v>13000</v>
      </c>
      <c r="R10" s="33">
        <v>15000</v>
      </c>
      <c r="S10" s="33">
        <v>17021</v>
      </c>
      <c r="T10" s="38">
        <v>50000</v>
      </c>
      <c r="AE10" s="107"/>
      <c r="AF10" s="107"/>
      <c r="AG10" s="76"/>
    </row>
    <row r="11" spans="1:33" ht="18" customHeight="1" thickTop="1" x14ac:dyDescent="0.25">
      <c r="A11" s="8" t="s">
        <v>10</v>
      </c>
      <c r="B11" s="84"/>
      <c r="C11" s="85"/>
      <c r="D11" s="31" t="e">
        <f>LEFT($V$11, FIND(",", $V$11) - 1)</f>
        <v>#VALUE!</v>
      </c>
      <c r="E11" s="15">
        <v>60</v>
      </c>
      <c r="F11" s="26"/>
      <c r="G11" s="10" t="e">
        <f>(B11/$D$20)^2*$F$18+F11+$N$1</f>
        <v>#N/A</v>
      </c>
      <c r="H11" s="43"/>
      <c r="L11" s="34"/>
      <c r="M11" s="34"/>
      <c r="N11" s="40"/>
      <c r="O11" s="33"/>
      <c r="P11" s="34" t="s">
        <v>32</v>
      </c>
      <c r="Q11" s="33">
        <v>20000</v>
      </c>
      <c r="R11" s="33"/>
      <c r="S11" s="33"/>
      <c r="T11" s="38">
        <v>75000</v>
      </c>
      <c r="V11" t="e">
        <f>IF($A$2="M140",Blackbox(CFMtoM3H(B11),STATICtoPA(G11)),ManualEntry(B11,G11,$S$2,$C$8))</f>
        <v>#VALUE!</v>
      </c>
      <c r="AE11" s="107"/>
      <c r="AF11" s="107"/>
      <c r="AG11" s="76"/>
    </row>
    <row r="12" spans="1:33" ht="18" customHeight="1" x14ac:dyDescent="0.25">
      <c r="A12" s="7" t="s">
        <v>12</v>
      </c>
      <c r="B12" s="89"/>
      <c r="C12" s="90"/>
      <c r="D12" s="31" t="str">
        <f>IF($V$12 = "","", LEFT($V$12, FIND(",", $V$12) - 1))</f>
        <v/>
      </c>
      <c r="E12" s="16">
        <f>IF(B12="",0,IF($D$11=0," ",D12/$D$11*$E$11))</f>
        <v>0</v>
      </c>
      <c r="F12" s="11">
        <v>0</v>
      </c>
      <c r="G12" s="10" t="e">
        <f>(B12/$D$20)^2*$F$18+F12+$N$1</f>
        <v>#N/A</v>
      </c>
      <c r="L12" s="34"/>
      <c r="M12" s="34"/>
      <c r="N12" s="40"/>
      <c r="O12" s="33"/>
      <c r="V12" t="str">
        <f>IF(B12="","",IF($A$2="M140",Blackbox(CFMtoM3H(B12),STATICtoPA(G12)),ManualEntry(B12,G12,$S$2)))</f>
        <v/>
      </c>
      <c r="AE12" s="106"/>
      <c r="AF12" s="106"/>
      <c r="AG12" s="106"/>
    </row>
    <row r="13" spans="1:33" ht="18" customHeight="1" x14ac:dyDescent="0.25">
      <c r="A13" s="7" t="s">
        <v>13</v>
      </c>
      <c r="B13" s="89"/>
      <c r="C13" s="90"/>
      <c r="D13" s="31" t="str">
        <f>IF($V$13 = "","", LEFT($V$13, FIND(",", $V$13) - 1))</f>
        <v/>
      </c>
      <c r="E13" s="16">
        <f>IF(B13="",0,IF($D$11=0," ",D13/$D$11*$E$11))</f>
        <v>0</v>
      </c>
      <c r="F13" s="11" t="e">
        <f t="shared" ref="F13:F17" si="0">(B13/$B$11)^2*$F$11</f>
        <v>#DIV/0!</v>
      </c>
      <c r="G13" s="10" t="e">
        <f>(B13/$D$20)^2*$F$18+F13+$N$1</f>
        <v>#N/A</v>
      </c>
      <c r="L13" s="34"/>
      <c r="M13" s="34"/>
      <c r="N13" s="40"/>
      <c r="O13" s="33"/>
      <c r="V13" t="str">
        <f>IF(B13="","",IF($A$2="M140",Blackbox(CFMtoM3H(B13),STATICtoPA(G13)),ManualEntry(B13,G13,$S$2)))</f>
        <v/>
      </c>
      <c r="AE13" s="106"/>
      <c r="AF13" s="106"/>
      <c r="AG13" s="106"/>
    </row>
    <row r="14" spans="1:33" ht="18" hidden="1" customHeight="1" x14ac:dyDescent="0.25">
      <c r="A14" s="7" t="s">
        <v>41</v>
      </c>
      <c r="B14" s="89"/>
      <c r="C14" s="90"/>
      <c r="D14" s="31" t="str">
        <f>IF(B14="","",IF($A$2="M140",Blackbox(CFMtoM3H(B14),STATICtoPA(G14)),ManualEntry(B14,G14,$S$2)))</f>
        <v/>
      </c>
      <c r="E14" s="16">
        <f t="shared" ref="E14:E15" si="1">IF(B14="",0,IF($D$11=0," ",D14/$D$11*$E$11))</f>
        <v>0</v>
      </c>
      <c r="F14" s="11" t="e">
        <f t="shared" si="0"/>
        <v>#DIV/0!</v>
      </c>
      <c r="G14" s="10" t="e">
        <f t="shared" ref="G14:G15" si="2">(B14/$D$20)^2*$F$18+F14+$N$1</f>
        <v>#N/A</v>
      </c>
      <c r="L14" s="34"/>
      <c r="M14" s="34"/>
      <c r="N14" s="40"/>
      <c r="O14" s="33"/>
      <c r="AE14" s="44"/>
      <c r="AF14" s="44"/>
      <c r="AG14" s="44"/>
    </row>
    <row r="15" spans="1:33" ht="18" hidden="1" customHeight="1" x14ac:dyDescent="0.25">
      <c r="A15" s="7" t="s">
        <v>42</v>
      </c>
      <c r="B15" s="89"/>
      <c r="C15" s="90"/>
      <c r="D15" s="31" t="str">
        <f>IF(B15="","",IF($A$2="M140",Blackbox(CFMtoM3H(B15),STATICtoPA(G15)),ManualEntry(B15,G15,$S$2)))</f>
        <v/>
      </c>
      <c r="E15" s="16">
        <f t="shared" si="1"/>
        <v>0</v>
      </c>
      <c r="F15" s="11" t="e">
        <f t="shared" si="0"/>
        <v>#DIV/0!</v>
      </c>
      <c r="G15" s="10" t="e">
        <f t="shared" si="2"/>
        <v>#N/A</v>
      </c>
      <c r="L15" s="34"/>
      <c r="M15" s="34"/>
      <c r="N15" s="40"/>
      <c r="O15" s="33"/>
      <c r="AE15" s="44"/>
      <c r="AF15" s="44"/>
      <c r="AG15" s="44"/>
    </row>
    <row r="16" spans="1:33" ht="18" customHeight="1" x14ac:dyDescent="0.25">
      <c r="A16" s="7" t="s">
        <v>14</v>
      </c>
      <c r="B16" s="80" t="e">
        <f>(B11/B17)^0.5*B17</f>
        <v>#N/A</v>
      </c>
      <c r="C16" s="81"/>
      <c r="D16" s="31" t="e">
        <f>IF($V$16 = "","", LEFT($V$16, FIND(",", $V$16) - 1))</f>
        <v>#VALUE!</v>
      </c>
      <c r="E16" s="16" t="e">
        <f>IF(D11=0," ",D16/D11*E11)</f>
        <v>#VALUE!</v>
      </c>
      <c r="F16" s="11" t="e">
        <f t="shared" si="0"/>
        <v>#N/A</v>
      </c>
      <c r="G16" s="10" t="e">
        <f>(B16/$D$20)^2*$F$18+F16+$N$1</f>
        <v>#N/A</v>
      </c>
      <c r="K16" s="34"/>
      <c r="O16" s="33"/>
      <c r="V16" t="e">
        <f>IF($A$2="M140",Blackbox(CFMtoM3H(B16),STATICtoPA(G16)),ManualEntry(B16,G16,$S$2,$C$8))</f>
        <v>#VALUE!</v>
      </c>
      <c r="AE16" s="44"/>
      <c r="AF16" s="44"/>
      <c r="AG16" s="44"/>
    </row>
    <row r="17" spans="1:39" ht="18" customHeight="1" x14ac:dyDescent="0.25">
      <c r="A17" s="63" t="s">
        <v>11</v>
      </c>
      <c r="B17" s="82" t="e">
        <f>VLOOKUP(A2,P3:R11,IF(B2="Nat Gas",2,3),FALSE)</f>
        <v>#N/A</v>
      </c>
      <c r="C17" s="83"/>
      <c r="D17" s="31" t="e">
        <f>IF($V$17 = "","", LEFT($V$17, FIND(",", $V$17) - 1))</f>
        <v>#VALUE!</v>
      </c>
      <c r="E17" s="16" t="e">
        <f>IF(D11=0," ",D17/D11*E11)</f>
        <v>#VALUE!</v>
      </c>
      <c r="F17" s="11" t="e">
        <f t="shared" si="0"/>
        <v>#N/A</v>
      </c>
      <c r="G17" s="10" t="e">
        <f>(B17/$D$20)^2*$F$18+F17+$N$1</f>
        <v>#N/A</v>
      </c>
      <c r="K17" s="34"/>
      <c r="O17" s="33"/>
      <c r="V17" t="e">
        <f>IF($A$2="M140",Blackbox(CFMtoM3H(B17),STATICtoPA(G17)),ManualEntry(B17,G17,$S$2,$C$8))</f>
        <v>#VALUE!</v>
      </c>
    </row>
    <row r="18" spans="1:39" ht="18" customHeight="1" x14ac:dyDescent="0.25">
      <c r="A18" s="62" t="s">
        <v>110</v>
      </c>
      <c r="B18" s="99" t="e">
        <f>IF($A$2 = "M140", "N/A", RIGHT($V$11, LEN($V$11) - FIND(",", $V$11)))</f>
        <v>#VALUE!</v>
      </c>
      <c r="C18" s="100"/>
      <c r="D18" s="109" t="s">
        <v>20</v>
      </c>
      <c r="E18" s="109"/>
      <c r="F18" s="32">
        <f>IF(A3="Downblast",0.5,0.6)</f>
        <v>0.6</v>
      </c>
      <c r="G18" s="18"/>
      <c r="K18" s="34"/>
      <c r="O18" s="38"/>
    </row>
    <row r="19" spans="1:39" ht="18" customHeight="1" x14ac:dyDescent="0.25">
      <c r="A19" s="1"/>
      <c r="B19" s="2"/>
      <c r="C19" s="2"/>
      <c r="D19" s="2"/>
      <c r="E19" s="2"/>
      <c r="F19" s="2"/>
      <c r="G19" s="3"/>
      <c r="K19" s="34"/>
      <c r="O19" s="38"/>
      <c r="AE19" s="98" t="str">
        <f>IF(OR(B5 = "No", B5 = ""), "", IF(B5 = "Internal", "See IVI Calculations on ""IVI"" Sheet", IF(B5 = "External", "EVI Manual Calculation Needed")))</f>
        <v/>
      </c>
      <c r="AF19" s="98"/>
      <c r="AG19" s="98"/>
    </row>
    <row r="20" spans="1:39" ht="18" customHeight="1" x14ac:dyDescent="0.2">
      <c r="A20" s="12" t="s">
        <v>18</v>
      </c>
      <c r="B20" s="4"/>
      <c r="C20" s="4"/>
      <c r="D20" s="39" t="e">
        <f>VLOOKUP(A2,P3:T11,5,FALSE)</f>
        <v>#N/A</v>
      </c>
      <c r="E20" s="4"/>
      <c r="F20" s="4"/>
      <c r="G20" s="17"/>
      <c r="K20" s="34"/>
      <c r="O20" s="38"/>
    </row>
    <row r="21" spans="1:39" ht="18" customHeight="1" thickBot="1" x14ac:dyDescent="0.25">
      <c r="A21" s="13"/>
      <c r="B21" s="13"/>
      <c r="C21" s="13"/>
      <c r="D21" s="13"/>
      <c r="E21" s="13"/>
      <c r="F21" s="13"/>
      <c r="G21" s="14"/>
      <c r="K21" s="34"/>
      <c r="O21" s="38"/>
    </row>
    <row r="22" spans="1:39" ht="18" customHeight="1" x14ac:dyDescent="0.2">
      <c r="A22" s="69"/>
      <c r="B22" s="96"/>
      <c r="C22" s="96"/>
      <c r="D22" s="69"/>
      <c r="E22" s="69"/>
      <c r="F22" s="69"/>
      <c r="G22" s="44"/>
      <c r="H22" s="44"/>
      <c r="I22" s="44"/>
      <c r="J22" s="44"/>
      <c r="K22" s="35"/>
      <c r="L22" s="38"/>
      <c r="M22" s="38"/>
      <c r="N22" s="38"/>
      <c r="O22" s="38"/>
      <c r="P22" s="44"/>
      <c r="Q22" s="44"/>
      <c r="R22" s="44"/>
      <c r="S22" s="44"/>
      <c r="T22" s="44"/>
      <c r="U22" s="44"/>
    </row>
    <row r="23" spans="1:39" ht="18" customHeight="1" x14ac:dyDescent="0.3">
      <c r="A23" s="70"/>
      <c r="B23" s="44"/>
      <c r="C23" s="44"/>
      <c r="D23" s="44"/>
      <c r="E23" s="44"/>
      <c r="F23" s="44"/>
      <c r="G23" s="44"/>
      <c r="H23" s="44"/>
      <c r="I23" s="44"/>
      <c r="J23" s="44"/>
      <c r="K23" s="38"/>
      <c r="L23" s="38"/>
      <c r="M23" s="38"/>
      <c r="N23" s="38"/>
      <c r="O23" s="44"/>
      <c r="P23" s="44"/>
      <c r="Q23" s="44"/>
      <c r="R23" s="44"/>
      <c r="S23" s="44"/>
      <c r="T23" s="44"/>
      <c r="U23" s="44"/>
    </row>
    <row r="24" spans="1:39" ht="18" customHeight="1" x14ac:dyDescent="0.2">
      <c r="A24" s="71"/>
      <c r="B24" s="71"/>
      <c r="C24" s="71"/>
      <c r="D24" s="71"/>
      <c r="E24" s="71"/>
      <c r="F24" s="71"/>
      <c r="G24" s="44"/>
      <c r="H24" s="44"/>
      <c r="I24" s="44"/>
      <c r="J24" s="44"/>
      <c r="K24" s="38"/>
      <c r="L24" s="38"/>
      <c r="M24" s="38"/>
      <c r="N24" s="38"/>
      <c r="O24" s="44"/>
      <c r="P24" s="44"/>
      <c r="Q24" s="44"/>
      <c r="R24" s="44"/>
      <c r="S24" s="44"/>
      <c r="T24" s="44"/>
      <c r="U24" s="44"/>
    </row>
    <row r="25" spans="1:39" ht="18" customHeight="1" x14ac:dyDescent="0.25">
      <c r="A25" s="72"/>
      <c r="B25" s="71"/>
      <c r="C25" s="71"/>
      <c r="D25" s="71"/>
      <c r="E25" s="73"/>
      <c r="F25" s="74"/>
      <c r="G25" s="44"/>
      <c r="H25" s="44"/>
      <c r="I25" s="44"/>
      <c r="J25" s="44"/>
      <c r="K25" s="38"/>
      <c r="L25" s="38"/>
      <c r="M25" s="38"/>
      <c r="N25" s="38"/>
      <c r="O25" s="44"/>
      <c r="P25" s="44"/>
      <c r="Q25" s="44"/>
      <c r="R25" s="44"/>
      <c r="S25" s="44"/>
      <c r="T25" s="44"/>
      <c r="U25" s="44"/>
    </row>
    <row r="26" spans="1:39" ht="18" customHeight="1" x14ac:dyDescent="0.25">
      <c r="A26" s="72"/>
      <c r="B26" s="71"/>
      <c r="C26" s="71"/>
      <c r="D26" s="71"/>
      <c r="E26" s="73"/>
      <c r="F26" s="74"/>
      <c r="G26" s="44"/>
      <c r="H26" s="44"/>
      <c r="I26" s="44"/>
      <c r="J26" s="44"/>
      <c r="K26" s="38"/>
      <c r="L26" s="38"/>
      <c r="M26" s="38"/>
      <c r="N26" s="38"/>
      <c r="O26" s="44"/>
      <c r="P26" s="44"/>
      <c r="Q26" s="44"/>
      <c r="R26" s="44"/>
      <c r="S26" s="44"/>
      <c r="T26" s="44"/>
      <c r="U26" s="44"/>
    </row>
    <row r="27" spans="1:39" ht="18" customHeight="1" x14ac:dyDescent="0.25">
      <c r="A27" s="72"/>
      <c r="B27" s="71"/>
      <c r="C27" s="71"/>
      <c r="D27" s="71"/>
      <c r="E27" s="73"/>
      <c r="F27" s="74"/>
      <c r="G27" s="44"/>
      <c r="H27" s="44"/>
      <c r="I27" s="44"/>
      <c r="J27" s="44"/>
      <c r="K27" s="38"/>
      <c r="L27" s="38"/>
      <c r="M27" s="38"/>
      <c r="N27" s="38"/>
      <c r="O27" s="44"/>
      <c r="P27" s="44"/>
      <c r="Q27" s="44"/>
      <c r="R27" s="44"/>
      <c r="S27" s="44"/>
      <c r="T27" s="44"/>
      <c r="U27" s="44"/>
    </row>
    <row r="28" spans="1:39" ht="18" customHeight="1" x14ac:dyDescent="0.25">
      <c r="A28" s="72"/>
      <c r="B28" s="71"/>
      <c r="C28" s="71"/>
      <c r="D28" s="71"/>
      <c r="E28" s="73"/>
      <c r="F28" s="74"/>
      <c r="G28" s="44"/>
      <c r="H28" s="44"/>
      <c r="I28" s="44"/>
      <c r="J28" s="44"/>
      <c r="K28" s="38"/>
      <c r="L28" s="38"/>
      <c r="M28" s="38"/>
      <c r="N28" s="38"/>
      <c r="O28" s="44"/>
      <c r="P28" s="44"/>
      <c r="Q28" s="44"/>
      <c r="R28" s="44"/>
      <c r="S28" s="44"/>
      <c r="T28" s="44"/>
      <c r="U28" s="44"/>
    </row>
    <row r="29" spans="1:39" ht="18" customHeight="1" x14ac:dyDescent="0.2">
      <c r="A29" s="44"/>
      <c r="B29" s="44"/>
      <c r="C29" s="44"/>
      <c r="D29" s="44"/>
      <c r="E29" s="44"/>
      <c r="F29" s="44"/>
      <c r="G29" s="44"/>
      <c r="H29" s="44"/>
      <c r="I29" s="44"/>
      <c r="J29" s="44"/>
      <c r="K29" s="38"/>
      <c r="L29" s="38"/>
      <c r="M29" s="38"/>
      <c r="N29" s="38"/>
      <c r="O29" s="44"/>
      <c r="P29" s="44"/>
      <c r="Q29" s="44"/>
      <c r="R29" s="44"/>
      <c r="S29" s="44"/>
      <c r="T29" s="44"/>
      <c r="U29" s="44"/>
      <c r="V29" s="2"/>
      <c r="W29" s="2"/>
      <c r="X29" s="77"/>
      <c r="Y29" s="2"/>
      <c r="Z29" s="2"/>
      <c r="AA29" s="2"/>
      <c r="AB29" s="2"/>
      <c r="AC29" s="2"/>
      <c r="AD29" s="2"/>
      <c r="AE29" s="2"/>
      <c r="AF29" s="2"/>
      <c r="AG29" s="2"/>
      <c r="AH29" s="2"/>
      <c r="AI29" s="2"/>
      <c r="AJ29" s="2"/>
      <c r="AK29" s="2"/>
      <c r="AL29" s="2"/>
      <c r="AM29" s="2"/>
    </row>
    <row r="30" spans="1:39" ht="18" customHeight="1" x14ac:dyDescent="0.25">
      <c r="A30" s="101"/>
      <c r="B30" s="101"/>
      <c r="C30" s="44"/>
      <c r="D30" s="44"/>
      <c r="E30" s="44"/>
      <c r="F30" s="44"/>
      <c r="G30" s="44"/>
      <c r="H30" s="44"/>
      <c r="I30" s="44"/>
      <c r="J30" s="44"/>
      <c r="K30" s="38"/>
      <c r="L30" s="38"/>
      <c r="M30" s="38"/>
      <c r="N30" s="38"/>
      <c r="O30" s="44"/>
      <c r="P30" s="44"/>
      <c r="Q30" s="44"/>
      <c r="R30" s="44"/>
      <c r="S30" s="44"/>
      <c r="T30" s="44"/>
      <c r="U30" s="44"/>
      <c r="V30" s="2"/>
      <c r="W30" s="77"/>
      <c r="X30" s="77"/>
      <c r="Y30" s="77"/>
      <c r="Z30" s="77"/>
      <c r="AA30" s="77"/>
      <c r="AB30" s="77"/>
      <c r="AC30" s="77"/>
      <c r="AD30" s="77"/>
      <c r="AE30" s="2"/>
      <c r="AF30" s="2"/>
      <c r="AG30" s="2"/>
      <c r="AH30" s="2"/>
      <c r="AI30" s="2"/>
      <c r="AJ30" s="2"/>
      <c r="AK30" s="2"/>
      <c r="AL30" s="2"/>
      <c r="AM30" s="2"/>
    </row>
    <row r="31" spans="1:39" ht="18" customHeight="1" x14ac:dyDescent="0.25">
      <c r="A31" s="75"/>
      <c r="B31" s="68"/>
      <c r="C31" s="44"/>
      <c r="D31" s="44"/>
      <c r="E31" s="94"/>
      <c r="F31" s="94"/>
      <c r="G31" s="44"/>
      <c r="H31" s="44"/>
      <c r="I31" s="44"/>
      <c r="J31" s="44"/>
      <c r="K31" s="38"/>
      <c r="L31" s="38"/>
      <c r="M31" s="38"/>
      <c r="N31" s="38"/>
      <c r="O31" s="44"/>
      <c r="P31" s="44"/>
      <c r="Q31" s="44"/>
      <c r="R31" s="44"/>
      <c r="S31" s="44"/>
      <c r="T31" s="44"/>
      <c r="U31" s="44"/>
      <c r="V31" s="2"/>
      <c r="W31" s="77"/>
      <c r="X31" s="77"/>
      <c r="Y31" s="77"/>
      <c r="Z31" s="77"/>
      <c r="AA31" s="2"/>
      <c r="AB31" s="2"/>
      <c r="AC31" s="2"/>
      <c r="AD31" s="2"/>
      <c r="AE31" s="2"/>
      <c r="AF31" s="2"/>
      <c r="AG31" s="2"/>
      <c r="AH31" s="2"/>
      <c r="AI31" s="2"/>
      <c r="AJ31" s="2"/>
      <c r="AK31" s="2"/>
      <c r="AL31" s="2"/>
      <c r="AM31" s="2"/>
    </row>
    <row r="32" spans="1:39" ht="18" customHeight="1" x14ac:dyDescent="0.25">
      <c r="A32" s="45"/>
      <c r="B32" s="46"/>
      <c r="C32" s="44"/>
      <c r="D32" s="44"/>
      <c r="E32" s="78"/>
      <c r="F32" s="78"/>
      <c r="G32" s="44"/>
      <c r="H32" s="44"/>
      <c r="I32" s="44"/>
      <c r="J32" s="44"/>
      <c r="K32" s="38"/>
      <c r="L32" s="38"/>
      <c r="M32" s="38"/>
      <c r="N32" s="38"/>
      <c r="O32" s="44"/>
      <c r="P32" s="44"/>
      <c r="Q32" s="44"/>
      <c r="R32" s="44"/>
      <c r="S32" s="44"/>
      <c r="T32" s="44"/>
      <c r="U32" s="44"/>
      <c r="V32" s="2"/>
      <c r="W32" s="77"/>
      <c r="X32" s="77"/>
      <c r="Y32" s="77"/>
      <c r="Z32" s="77"/>
      <c r="AA32" s="77"/>
      <c r="AB32" s="77"/>
      <c r="AC32" s="2"/>
      <c r="AD32" s="2"/>
      <c r="AE32" s="2"/>
      <c r="AF32" s="2"/>
      <c r="AG32" s="2"/>
      <c r="AH32" s="2"/>
      <c r="AI32" s="2"/>
      <c r="AJ32" s="2"/>
      <c r="AK32" s="2"/>
      <c r="AL32" s="2"/>
      <c r="AM32" s="2"/>
    </row>
    <row r="33" spans="1:39" ht="18" customHeight="1" x14ac:dyDescent="0.25">
      <c r="A33" s="45"/>
      <c r="B33" s="46"/>
      <c r="C33" s="44"/>
      <c r="D33" s="44"/>
      <c r="E33" s="44"/>
      <c r="F33" s="44"/>
      <c r="G33" s="44"/>
      <c r="H33" s="44"/>
      <c r="I33" s="44"/>
      <c r="J33" s="44"/>
      <c r="K33" s="38"/>
      <c r="L33" s="38"/>
      <c r="M33" s="38"/>
      <c r="N33" s="38"/>
      <c r="O33" s="44"/>
      <c r="P33" s="44"/>
      <c r="Q33" s="44"/>
      <c r="R33" s="44"/>
      <c r="S33" s="44"/>
      <c r="T33" s="44"/>
      <c r="U33" s="44"/>
      <c r="V33" s="2"/>
      <c r="W33" s="77"/>
      <c r="X33" s="77"/>
      <c r="Y33" s="77"/>
      <c r="Z33" s="77"/>
      <c r="AA33" s="77"/>
      <c r="AB33" s="77"/>
      <c r="AC33" s="2"/>
      <c r="AD33" s="2"/>
      <c r="AE33" s="2"/>
      <c r="AF33" s="2"/>
      <c r="AG33" s="2"/>
      <c r="AH33" s="2"/>
      <c r="AI33" s="2"/>
      <c r="AJ33" s="2"/>
      <c r="AK33" s="2"/>
      <c r="AL33" s="2"/>
      <c r="AM33" s="2"/>
    </row>
    <row r="34" spans="1:39" ht="18" customHeight="1" x14ac:dyDescent="0.25">
      <c r="A34" s="45"/>
      <c r="B34" s="46"/>
      <c r="C34" s="44"/>
      <c r="D34" s="44"/>
      <c r="E34" s="44"/>
      <c r="F34" s="44"/>
      <c r="G34" s="44"/>
      <c r="H34" s="44"/>
      <c r="I34" s="44"/>
      <c r="J34" s="44"/>
      <c r="K34" s="38"/>
      <c r="L34" s="38"/>
      <c r="M34" s="38"/>
      <c r="N34" s="38"/>
      <c r="O34" s="44"/>
      <c r="P34" s="44"/>
      <c r="Q34" s="44"/>
      <c r="R34" s="44"/>
      <c r="S34" s="44"/>
      <c r="T34" s="44"/>
      <c r="U34" s="44"/>
      <c r="V34" s="77"/>
      <c r="W34" s="77"/>
      <c r="X34" s="2"/>
      <c r="Y34" s="2"/>
      <c r="Z34" s="2"/>
      <c r="AA34" s="2"/>
      <c r="AB34" s="2"/>
      <c r="AC34" s="2"/>
      <c r="AD34" s="2"/>
      <c r="AE34" s="2"/>
      <c r="AF34" s="2"/>
      <c r="AG34" s="2"/>
      <c r="AH34" s="2"/>
      <c r="AI34" s="2"/>
      <c r="AJ34" s="2"/>
      <c r="AK34" s="2"/>
      <c r="AL34" s="2"/>
      <c r="AM34" s="2"/>
    </row>
    <row r="35" spans="1:39" ht="18" customHeight="1" x14ac:dyDescent="0.25">
      <c r="A35" s="45"/>
      <c r="B35" s="46"/>
      <c r="C35" s="44"/>
      <c r="D35" s="44"/>
      <c r="E35" s="44"/>
      <c r="F35" s="44"/>
      <c r="G35" s="44"/>
      <c r="H35" s="44"/>
      <c r="I35" s="44"/>
      <c r="J35" s="44"/>
      <c r="K35" s="38"/>
      <c r="L35" s="38"/>
      <c r="M35" s="38"/>
      <c r="N35" s="38"/>
      <c r="O35" s="44"/>
      <c r="P35" s="44"/>
      <c r="Q35" s="44"/>
      <c r="R35" s="44"/>
      <c r="S35" s="44"/>
      <c r="T35" s="44"/>
      <c r="U35" s="44"/>
      <c r="V35" s="77"/>
      <c r="W35" s="77"/>
      <c r="X35" s="2"/>
      <c r="Y35" s="2"/>
      <c r="Z35" s="2"/>
      <c r="AA35" s="2"/>
      <c r="AB35" s="2"/>
      <c r="AC35" s="2"/>
      <c r="AD35" s="2"/>
      <c r="AE35" s="2"/>
      <c r="AF35" s="2"/>
      <c r="AG35" s="2"/>
      <c r="AH35" s="2"/>
      <c r="AI35" s="2"/>
      <c r="AJ35" s="2"/>
      <c r="AK35" s="2"/>
      <c r="AL35" s="2"/>
      <c r="AM35" s="2"/>
    </row>
    <row r="36" spans="1:39" ht="18" customHeight="1" x14ac:dyDescent="0.25">
      <c r="A36" s="45"/>
      <c r="B36" s="46"/>
      <c r="C36" s="44"/>
      <c r="D36" s="44"/>
      <c r="E36" s="44"/>
      <c r="F36" s="44"/>
      <c r="G36" s="44"/>
      <c r="H36" s="44"/>
      <c r="I36" s="44"/>
      <c r="J36" s="44"/>
      <c r="K36" s="38"/>
      <c r="L36" s="38"/>
      <c r="M36" s="38"/>
      <c r="N36" s="38"/>
      <c r="O36" s="44"/>
      <c r="P36" s="44"/>
      <c r="Q36" s="44"/>
      <c r="R36" s="44"/>
      <c r="S36" s="44"/>
      <c r="T36" s="44"/>
      <c r="U36" s="44"/>
      <c r="V36" s="77"/>
      <c r="W36" s="77"/>
      <c r="X36" s="2"/>
      <c r="Y36" s="2"/>
      <c r="Z36" s="2"/>
      <c r="AA36" s="2"/>
      <c r="AB36" s="2"/>
      <c r="AC36" s="2"/>
      <c r="AD36" s="2"/>
      <c r="AE36" s="2"/>
      <c r="AF36" s="2"/>
      <c r="AG36" s="2"/>
      <c r="AH36" s="2"/>
      <c r="AI36" s="2"/>
      <c r="AJ36" s="2"/>
      <c r="AK36" s="2"/>
      <c r="AL36" s="2"/>
      <c r="AM36" s="2"/>
    </row>
    <row r="37" spans="1:39" ht="18" customHeight="1" x14ac:dyDescent="0.25">
      <c r="A37" s="45"/>
      <c r="B37" s="46"/>
      <c r="C37" s="44"/>
      <c r="D37" s="44"/>
      <c r="E37" s="44"/>
      <c r="F37" s="44"/>
      <c r="G37" s="44"/>
      <c r="H37" s="44"/>
      <c r="I37" s="44"/>
      <c r="J37" s="44"/>
      <c r="K37" s="38"/>
      <c r="L37" s="38"/>
      <c r="M37" s="38"/>
      <c r="N37" s="38"/>
      <c r="O37" s="44"/>
      <c r="P37" s="44"/>
      <c r="Q37" s="44"/>
      <c r="R37" s="44"/>
      <c r="S37" s="44"/>
      <c r="T37" s="44"/>
      <c r="U37" s="44"/>
      <c r="V37" s="77"/>
      <c r="W37" s="77"/>
      <c r="X37" s="2"/>
      <c r="Y37" s="77"/>
      <c r="Z37" s="77"/>
      <c r="AA37" s="77"/>
      <c r="AB37" s="77"/>
      <c r="AC37" s="77"/>
      <c r="AD37" s="77"/>
      <c r="AE37" s="2"/>
      <c r="AF37" s="2"/>
      <c r="AG37" s="2"/>
      <c r="AH37" s="2"/>
      <c r="AI37" s="2"/>
      <c r="AJ37" s="2"/>
      <c r="AK37" s="2"/>
      <c r="AL37" s="2"/>
      <c r="AM37" s="2"/>
    </row>
    <row r="38" spans="1:39" ht="18" customHeight="1" x14ac:dyDescent="0.25">
      <c r="A38" s="45"/>
      <c r="B38" s="46"/>
      <c r="C38" s="44"/>
      <c r="D38" s="44"/>
      <c r="E38" s="44"/>
      <c r="F38" s="44"/>
      <c r="G38" s="44"/>
      <c r="H38" s="44"/>
      <c r="I38" s="44"/>
      <c r="J38" s="44"/>
      <c r="K38" s="38"/>
      <c r="L38" s="38"/>
      <c r="M38" s="38"/>
      <c r="N38" s="38"/>
      <c r="O38" s="44"/>
      <c r="P38" s="44"/>
      <c r="Q38" s="44"/>
      <c r="R38" s="44"/>
      <c r="S38" s="44"/>
      <c r="T38" s="44"/>
      <c r="U38" s="44"/>
      <c r="V38" s="77"/>
      <c r="W38" s="77"/>
      <c r="X38" s="2"/>
      <c r="Y38" s="77"/>
      <c r="Z38" s="77"/>
      <c r="AA38" s="77"/>
      <c r="AB38" s="77"/>
      <c r="AC38" s="77"/>
      <c r="AD38" s="77"/>
      <c r="AE38" s="2"/>
      <c r="AF38" s="2"/>
      <c r="AG38" s="2"/>
      <c r="AH38" s="2"/>
      <c r="AI38" s="2"/>
      <c r="AJ38" s="2"/>
      <c r="AK38" s="2"/>
      <c r="AL38" s="2"/>
      <c r="AM38" s="2"/>
    </row>
    <row r="39" spans="1:39" ht="18" x14ac:dyDescent="0.25">
      <c r="A39" s="45"/>
      <c r="B39" s="46"/>
      <c r="C39" s="44"/>
      <c r="D39" s="44"/>
      <c r="E39" s="44"/>
      <c r="F39" s="44"/>
      <c r="G39" s="44"/>
      <c r="H39" s="44"/>
      <c r="I39" s="44"/>
      <c r="J39" s="44"/>
      <c r="K39" s="38"/>
      <c r="L39" s="38"/>
      <c r="M39" s="38"/>
      <c r="N39" s="38"/>
      <c r="O39" s="44"/>
      <c r="P39" s="44"/>
      <c r="Q39" s="44"/>
      <c r="R39" s="44"/>
      <c r="S39" s="44"/>
      <c r="T39" s="44"/>
      <c r="U39" s="44"/>
      <c r="V39" s="77"/>
      <c r="W39" s="77"/>
      <c r="X39" s="2"/>
      <c r="Y39" s="77"/>
      <c r="Z39" s="77"/>
      <c r="AA39" s="77"/>
      <c r="AB39" s="77"/>
      <c r="AC39" s="77"/>
      <c r="AD39" s="77"/>
    </row>
    <row r="40" spans="1:39" x14ac:dyDescent="0.2">
      <c r="A40" s="44"/>
      <c r="B40" s="44"/>
      <c r="C40" s="44"/>
      <c r="D40" s="44"/>
      <c r="E40" s="44"/>
      <c r="F40" s="44"/>
      <c r="G40" s="44"/>
      <c r="H40" s="44"/>
      <c r="I40" s="44"/>
      <c r="J40" s="44"/>
      <c r="K40" s="38"/>
      <c r="L40" s="38"/>
      <c r="M40" s="38"/>
      <c r="N40" s="38"/>
      <c r="O40" s="44"/>
      <c r="P40" s="44"/>
      <c r="Q40" s="44"/>
      <c r="R40" s="44"/>
      <c r="S40" s="44"/>
      <c r="T40" s="44"/>
      <c r="U40" s="44"/>
      <c r="V40" s="77"/>
      <c r="W40" s="77"/>
      <c r="X40" s="2"/>
      <c r="Y40" s="77"/>
      <c r="Z40" s="77"/>
      <c r="AA40" s="2"/>
      <c r="AB40" s="2"/>
      <c r="AC40" s="2"/>
      <c r="AD40" s="2"/>
    </row>
    <row r="41" spans="1:39" x14ac:dyDescent="0.2">
      <c r="V41" s="77"/>
      <c r="W41" s="77"/>
      <c r="X41" s="2"/>
      <c r="Y41" s="77"/>
      <c r="Z41" s="77"/>
      <c r="AA41" s="2"/>
      <c r="AB41" s="2"/>
      <c r="AC41" s="2"/>
      <c r="AD41" s="2"/>
    </row>
    <row r="42" spans="1:39" x14ac:dyDescent="0.2">
      <c r="V42" s="2"/>
      <c r="W42" s="2"/>
      <c r="X42" s="2"/>
      <c r="Y42" s="2"/>
      <c r="Z42" s="2"/>
      <c r="AA42" s="2"/>
      <c r="AB42" s="2"/>
      <c r="AC42" s="2"/>
      <c r="AD42" s="2"/>
    </row>
    <row r="43" spans="1:39" x14ac:dyDescent="0.2">
      <c r="V43" s="2"/>
      <c r="W43" s="2"/>
      <c r="X43" s="2"/>
      <c r="Y43" s="2"/>
      <c r="Z43" s="2"/>
      <c r="AA43" s="2"/>
      <c r="AB43" s="2"/>
      <c r="AC43" s="2"/>
      <c r="AD43" s="2"/>
    </row>
    <row r="44" spans="1:39" x14ac:dyDescent="0.2">
      <c r="V44" s="77"/>
      <c r="W44" s="2"/>
      <c r="X44" s="2"/>
      <c r="Y44" s="2"/>
      <c r="Z44" s="2"/>
      <c r="AA44" s="2"/>
      <c r="AB44" s="2"/>
      <c r="AC44" s="2"/>
      <c r="AD44" s="2"/>
    </row>
    <row r="45" spans="1:39" x14ac:dyDescent="0.2">
      <c r="V45" s="2"/>
      <c r="W45" s="2"/>
      <c r="X45" s="2"/>
      <c r="Y45" s="2"/>
      <c r="Z45" s="2"/>
      <c r="AA45" s="2"/>
      <c r="AB45" s="2"/>
      <c r="AC45" s="2"/>
      <c r="AD45" s="2"/>
    </row>
    <row r="46" spans="1:39" x14ac:dyDescent="0.2">
      <c r="V46" s="2"/>
      <c r="W46" s="2"/>
      <c r="X46" s="2"/>
      <c r="Y46" s="2"/>
      <c r="Z46" s="2"/>
      <c r="AA46" s="2"/>
      <c r="AB46" s="2"/>
      <c r="AC46" s="2"/>
      <c r="AD46" s="2"/>
    </row>
    <row r="51" spans="1:7" x14ac:dyDescent="0.2">
      <c r="G51" s="2"/>
    </row>
    <row r="52" spans="1:7" ht="18" x14ac:dyDescent="0.25">
      <c r="A52" s="45"/>
      <c r="B52" s="46"/>
      <c r="G52" s="2"/>
    </row>
    <row r="53" spans="1:7" ht="18" x14ac:dyDescent="0.25">
      <c r="A53" s="45"/>
      <c r="B53" s="46"/>
      <c r="G53" s="2"/>
    </row>
    <row r="54" spans="1:7" ht="18" x14ac:dyDescent="0.25">
      <c r="A54" s="45"/>
      <c r="B54" s="46"/>
      <c r="G54" s="2"/>
    </row>
    <row r="55" spans="1:7" ht="18" x14ac:dyDescent="0.25">
      <c r="A55" s="45"/>
      <c r="B55" s="46"/>
      <c r="G55" s="2"/>
    </row>
    <row r="56" spans="1:7" ht="18" x14ac:dyDescent="0.25">
      <c r="A56" s="45"/>
      <c r="B56" s="46"/>
      <c r="G56" s="2"/>
    </row>
    <row r="57" spans="1:7" ht="18" x14ac:dyDescent="0.25">
      <c r="A57" s="45"/>
      <c r="B57" s="46"/>
      <c r="G57" s="2"/>
    </row>
    <row r="58" spans="1:7" ht="18" x14ac:dyDescent="0.25">
      <c r="A58" s="45"/>
      <c r="B58" s="46"/>
      <c r="G58" s="2"/>
    </row>
    <row r="59" spans="1:7" ht="18" x14ac:dyDescent="0.25">
      <c r="A59" s="45"/>
      <c r="B59" s="46"/>
      <c r="G59" s="2"/>
    </row>
  </sheetData>
  <mergeCells count="39">
    <mergeCell ref="A30:B30"/>
    <mergeCell ref="E1:G1"/>
    <mergeCell ref="A1:B1"/>
    <mergeCell ref="AE12:AG13"/>
    <mergeCell ref="AE5:AF5"/>
    <mergeCell ref="AE3:AF3"/>
    <mergeCell ref="AE11:AF11"/>
    <mergeCell ref="AE6:AF6"/>
    <mergeCell ref="AE4:AF4"/>
    <mergeCell ref="AE10:AF10"/>
    <mergeCell ref="AE9:AF9"/>
    <mergeCell ref="AE8:AF8"/>
    <mergeCell ref="AE7:AF7"/>
    <mergeCell ref="E4:G4"/>
    <mergeCell ref="E5:G5"/>
    <mergeCell ref="D18:E18"/>
    <mergeCell ref="AE2:AG2"/>
    <mergeCell ref="C2:D2"/>
    <mergeCell ref="B22:C22"/>
    <mergeCell ref="A3:B3"/>
    <mergeCell ref="C5:D5"/>
    <mergeCell ref="AE19:AG19"/>
    <mergeCell ref="B18:C18"/>
    <mergeCell ref="E32:F32"/>
    <mergeCell ref="Q1:R1"/>
    <mergeCell ref="B16:C16"/>
    <mergeCell ref="B17:C17"/>
    <mergeCell ref="B11:C11"/>
    <mergeCell ref="C3:D3"/>
    <mergeCell ref="C4:D4"/>
    <mergeCell ref="B10:C10"/>
    <mergeCell ref="B13:C13"/>
    <mergeCell ref="B12:C12"/>
    <mergeCell ref="B14:C14"/>
    <mergeCell ref="B15:C15"/>
    <mergeCell ref="E2:G2"/>
    <mergeCell ref="E3:G3"/>
    <mergeCell ref="C1:D1"/>
    <mergeCell ref="E31:F31"/>
  </mergeCells>
  <phoneticPr fontId="0" type="noConversion"/>
  <conditionalFormatting sqref="AE19:AG19">
    <cfRule type="cellIs" dxfId="1" priority="2" operator="equal">
      <formula>"See IVI Calculations on ""IVI"" Sheet"</formula>
    </cfRule>
    <cfRule type="cellIs" dxfId="0" priority="1" operator="equal">
      <formula>"EVI Manual Calculation Needed"</formula>
    </cfRule>
  </conditionalFormatting>
  <dataValidations count="5">
    <dataValidation type="list" allowBlank="1" showInputMessage="1" showErrorMessage="1" sqref="A2" xr:uid="{00000000-0002-0000-0000-000000000000}">
      <formula1>$K$1:$K$9</formula1>
    </dataValidation>
    <dataValidation type="list" allowBlank="1" showInputMessage="1" showErrorMessage="1" sqref="B2" xr:uid="{00000000-0002-0000-0000-000001000000}">
      <formula1>$L$1:$L$2</formula1>
    </dataValidation>
    <dataValidation type="list" allowBlank="1" showInputMessage="1" showErrorMessage="1" sqref="A3:B3" xr:uid="{00000000-0002-0000-0000-000002000000}">
      <formula1>$M$1:$M$3</formula1>
    </dataValidation>
    <dataValidation type="list" allowBlank="1" showInputMessage="1" showErrorMessage="1" sqref="B4" xr:uid="{CE8C495C-1D1D-4423-B565-0BD46E45544A}">
      <formula1>"H,V"</formula1>
    </dataValidation>
    <dataValidation type="list" allowBlank="1" showInputMessage="1" showErrorMessage="1" sqref="B5" xr:uid="{BFE621B9-AF91-4DB4-B4C2-149CFD357959}">
      <formula1>"Internal,External,No"</formula1>
    </dataValidation>
  </dataValidations>
  <pageMargins left="0.75" right="0.75" top="1" bottom="1" header="0.5" footer="0.5"/>
  <pageSetup scale="98" orientation="portrait" r:id="rId1"/>
  <headerFooter alignWithMargins="0">
    <oddFooter>&amp;L&amp;F&amp;R&amp;D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F69771-C800-406E-AB19-FD7F781853F9}">
  <sheetPr codeName="Sheet2"/>
  <dimension ref="A1"/>
  <sheetViews>
    <sheetView workbookViewId="0"/>
  </sheetViews>
  <sheetFormatPr defaultRowHeight="12.75" x14ac:dyDescent="0.2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4D2708-EE9E-4403-92E9-B4A1CA612B0B}">
  <sheetPr codeName="Sheet4"/>
  <dimension ref="A1:AQ176"/>
  <sheetViews>
    <sheetView workbookViewId="0">
      <selection activeCell="B3" sqref="B3"/>
    </sheetView>
  </sheetViews>
  <sheetFormatPr defaultRowHeight="12.75" x14ac:dyDescent="0.2"/>
  <cols>
    <col min="6" max="6" width="13.42578125" hidden="1" customWidth="1"/>
    <col min="7" max="7" width="8.85546875" hidden="1" customWidth="1"/>
    <col min="8" max="9" width="8.28515625" hidden="1" customWidth="1"/>
    <col min="10" max="11" width="12" bestFit="1" customWidth="1"/>
    <col min="12" max="12" width="7.7109375" bestFit="1" customWidth="1"/>
    <col min="13" max="13" width="12" bestFit="1" customWidth="1"/>
    <col min="14" max="14" width="13.140625" bestFit="1" customWidth="1"/>
    <col min="15" max="15" width="8.85546875" bestFit="1" customWidth="1"/>
    <col min="16" max="16" width="6.5703125" bestFit="1" customWidth="1"/>
    <col min="17" max="17" width="8.85546875" bestFit="1" customWidth="1"/>
    <col min="18" max="18" width="10.85546875" bestFit="1" customWidth="1"/>
    <col min="19" max="20" width="6" bestFit="1" customWidth="1"/>
    <col min="21" max="21" width="9.85546875" bestFit="1" customWidth="1"/>
    <col min="22" max="22" width="7" bestFit="1" customWidth="1"/>
    <col min="23" max="23" width="6" bestFit="1" customWidth="1"/>
    <col min="24" max="25" width="12" bestFit="1" customWidth="1"/>
    <col min="26" max="26" width="6" bestFit="1" customWidth="1"/>
    <col min="27" max="27" width="6.5703125" bestFit="1" customWidth="1"/>
    <col min="28" max="28" width="8" bestFit="1" customWidth="1"/>
    <col min="29" max="32" width="12" bestFit="1" customWidth="1"/>
    <col min="33" max="33" width="12.140625" bestFit="1" customWidth="1"/>
    <col min="34" max="35" width="12" bestFit="1" customWidth="1"/>
    <col min="36" max="36" width="14.7109375" bestFit="1" customWidth="1"/>
    <col min="37" max="37" width="16" bestFit="1" customWidth="1"/>
  </cols>
  <sheetData>
    <row r="1" spans="1:43" ht="210" customHeight="1" x14ac:dyDescent="0.2">
      <c r="J1" s="33"/>
      <c r="K1" s="33"/>
      <c r="L1" s="33"/>
      <c r="M1" s="33"/>
    </row>
    <row r="2" spans="1:43" ht="18" customHeight="1" x14ac:dyDescent="0.2"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58"/>
      <c r="O2" s="40"/>
      <c r="P2" s="40"/>
      <c r="Q2" s="40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AH2" s="2"/>
      <c r="AI2" s="2"/>
      <c r="AJ2" s="2"/>
      <c r="AK2" s="2"/>
      <c r="AL2" s="2"/>
    </row>
    <row r="3" spans="1:43" x14ac:dyDescent="0.2">
      <c r="A3" s="33"/>
      <c r="F3" t="s">
        <v>82</v>
      </c>
      <c r="J3" s="52" t="s">
        <v>50</v>
      </c>
      <c r="K3" s="53"/>
      <c r="N3" s="54" t="s">
        <v>51</v>
      </c>
      <c r="O3" s="55"/>
      <c r="P3" s="33"/>
      <c r="Q3" s="33"/>
      <c r="AL3" s="2"/>
    </row>
    <row r="4" spans="1:43" ht="38.25" x14ac:dyDescent="0.2">
      <c r="A4" s="33"/>
      <c r="B4" s="51" t="s">
        <v>46</v>
      </c>
      <c r="C4" s="51" t="s">
        <v>47</v>
      </c>
      <c r="D4" s="51" t="s">
        <v>48</v>
      </c>
      <c r="E4" s="51" t="s">
        <v>49</v>
      </c>
      <c r="F4" s="37" t="s">
        <v>52</v>
      </c>
      <c r="G4" s="37" t="s">
        <v>53</v>
      </c>
      <c r="H4" s="37" t="s">
        <v>54</v>
      </c>
      <c r="I4" s="37" t="s">
        <v>55</v>
      </c>
      <c r="J4" s="37" t="s">
        <v>52</v>
      </c>
      <c r="K4" s="37" t="s">
        <v>53</v>
      </c>
      <c r="L4" s="37" t="s">
        <v>54</v>
      </c>
      <c r="M4" s="37" t="s">
        <v>55</v>
      </c>
      <c r="N4" s="37" t="s">
        <v>52</v>
      </c>
      <c r="O4" s="37" t="s">
        <v>53</v>
      </c>
      <c r="P4" s="37" t="s">
        <v>54</v>
      </c>
      <c r="Q4" s="37" t="s">
        <v>55</v>
      </c>
      <c r="R4" s="37" t="s">
        <v>56</v>
      </c>
      <c r="S4" s="37" t="s">
        <v>57</v>
      </c>
      <c r="T4" s="37" t="s">
        <v>58</v>
      </c>
      <c r="U4" s="37" t="s">
        <v>59</v>
      </c>
      <c r="V4" s="37" t="s">
        <v>57</v>
      </c>
      <c r="W4" s="37" t="s">
        <v>58</v>
      </c>
      <c r="X4" s="37" t="s">
        <v>60</v>
      </c>
      <c r="Y4" s="37" t="s">
        <v>61</v>
      </c>
      <c r="Z4" s="37" t="s">
        <v>62</v>
      </c>
      <c r="AA4" s="37" t="s">
        <v>63</v>
      </c>
      <c r="AB4" s="37" t="s">
        <v>64</v>
      </c>
      <c r="AC4" s="37" t="s">
        <v>65</v>
      </c>
      <c r="AD4" s="37" t="s">
        <v>66</v>
      </c>
      <c r="AE4" s="37" t="s">
        <v>67</v>
      </c>
      <c r="AF4" s="37" t="s">
        <v>68</v>
      </c>
      <c r="AG4" s="37" t="s">
        <v>69</v>
      </c>
      <c r="AH4" s="37" t="s">
        <v>70</v>
      </c>
      <c r="AI4" s="37" t="s">
        <v>71</v>
      </c>
      <c r="AJ4" s="37" t="s">
        <v>72</v>
      </c>
      <c r="AK4" s="37" t="s">
        <v>73</v>
      </c>
      <c r="AL4" s="2"/>
      <c r="AM4" s="59" t="s">
        <v>85</v>
      </c>
      <c r="AN4" s="59" t="s">
        <v>86</v>
      </c>
      <c r="AO4" s="59" t="s">
        <v>50</v>
      </c>
      <c r="AP4" s="59" t="s">
        <v>87</v>
      </c>
      <c r="AQ4" s="59" t="s">
        <v>88</v>
      </c>
    </row>
    <row r="5" spans="1:43" x14ac:dyDescent="0.2">
      <c r="A5" s="33"/>
      <c r="B5" s="51" t="s">
        <v>27</v>
      </c>
      <c r="C5" s="51" t="s">
        <v>74</v>
      </c>
      <c r="D5" s="51">
        <v>3</v>
      </c>
      <c r="E5" s="51" t="s">
        <v>45</v>
      </c>
      <c r="F5" s="37" t="str">
        <f>VLOOKUP(AH5,$AM$5:$AQ$12,4,TRUE)</f>
        <v>6219K84</v>
      </c>
      <c r="G5" s="37" t="str">
        <f t="shared" ref="G5:I5" si="0">VLOOKUP(AI5,$AM$5:$AQ$12,4,TRUE)</f>
        <v>6219K84</v>
      </c>
      <c r="H5" s="37" t="str">
        <f t="shared" si="0"/>
        <v>6219K72</v>
      </c>
      <c r="I5" s="37" t="str">
        <f t="shared" si="0"/>
        <v>6219K72</v>
      </c>
      <c r="J5" s="56" t="str">
        <f>VLOOKUP(AH5,$AM$5:$AQ$12,3,TRUE)</f>
        <v>Tan</v>
      </c>
      <c r="K5" s="56" t="str">
        <f t="shared" ref="K5:M20" si="1">VLOOKUP(AI5,$AM$5:$AQ$12,3,TRUE)</f>
        <v>Tan</v>
      </c>
      <c r="L5" s="56" t="str">
        <f t="shared" si="1"/>
        <v xml:space="preserve">Red </v>
      </c>
      <c r="M5" s="56" t="str">
        <f t="shared" si="1"/>
        <v xml:space="preserve">Red </v>
      </c>
      <c r="N5" s="56" t="str">
        <f>VLOOKUP(AH5,$AM$5:$AQ$12,5,TRUE)</f>
        <v>42-081</v>
      </c>
      <c r="O5" s="56" t="str">
        <f>VLOOKUP(AI5,$AM$5:$AQ$12,5,TRUE)</f>
        <v>42-081</v>
      </c>
      <c r="P5" s="56" t="str">
        <f>VLOOKUP(AJ5,$AM$5:$AQ$12,5,TRUE)</f>
        <v>42-082</v>
      </c>
      <c r="Q5" s="56" t="str">
        <f>VLOOKUP(AK5,$AM$5:$AQ$12,5,TRUE)</f>
        <v>42-082</v>
      </c>
      <c r="R5" s="37">
        <v>69</v>
      </c>
      <c r="S5" s="37">
        <v>20.440000000000001</v>
      </c>
      <c r="T5" s="37">
        <v>9.68</v>
      </c>
      <c r="U5" s="37">
        <v>299.29000000000002</v>
      </c>
      <c r="V5" s="37">
        <v>17.03</v>
      </c>
      <c r="W5" s="37">
        <v>32.4</v>
      </c>
      <c r="X5" s="37">
        <f t="shared" ref="X5:X68" si="2">(R5*S5+U5*V5)/(R5+U5)</f>
        <v>17.668871541448315</v>
      </c>
      <c r="Y5" s="37">
        <f t="shared" ref="Y5:Y68" si="3">(R5*T5+U5*W5)/(R5+U5)</f>
        <v>28.14335442178718</v>
      </c>
      <c r="Z5" s="37">
        <v>33.18</v>
      </c>
      <c r="AA5" s="37">
        <v>47.5</v>
      </c>
      <c r="AB5" s="37">
        <f>R5+U5</f>
        <v>368.29</v>
      </c>
      <c r="AC5" s="37">
        <f>1-AD5</f>
        <v>0.46748428145122622</v>
      </c>
      <c r="AD5" s="37">
        <f>(X5/Z5)</f>
        <v>0.53251571854877378</v>
      </c>
      <c r="AE5" s="37">
        <f>1-AF5</f>
        <v>0.40750832796237513</v>
      </c>
      <c r="AF5" s="37">
        <f t="shared" ref="AF5:AF68" si="4">(Y5/AA5)</f>
        <v>0.59249167203762487</v>
      </c>
      <c r="AG5" s="37">
        <v>1</v>
      </c>
      <c r="AH5" s="37">
        <f>AB5*AC5*AE5*AG5</f>
        <v>70.16062162488646</v>
      </c>
      <c r="AI5" s="37">
        <f>AB5*AD5*AE5*AG5</f>
        <v>79.920620480376684</v>
      </c>
      <c r="AJ5" s="37">
        <f>AB5*AC5*AF5*AG5</f>
        <v>102.00916439078566</v>
      </c>
      <c r="AK5" s="37">
        <f>AB5*AD5*AF5*AG5</f>
        <v>116.19959350395122</v>
      </c>
      <c r="AL5" s="2"/>
      <c r="AM5" s="60">
        <v>0</v>
      </c>
      <c r="AN5" s="60">
        <v>50</v>
      </c>
      <c r="AO5" s="60" t="s">
        <v>89</v>
      </c>
      <c r="AP5" s="60" t="s">
        <v>90</v>
      </c>
      <c r="AQ5" s="60" t="s">
        <v>91</v>
      </c>
    </row>
    <row r="6" spans="1:43" x14ac:dyDescent="0.2">
      <c r="A6" s="33"/>
      <c r="B6" s="51" t="s">
        <v>27</v>
      </c>
      <c r="C6" s="51" t="s">
        <v>83</v>
      </c>
      <c r="D6" s="51">
        <v>3</v>
      </c>
      <c r="E6" s="51" t="s">
        <v>45</v>
      </c>
      <c r="F6" s="37" t="str">
        <f t="shared" ref="F6:F69" si="5">VLOOKUP(AH6,$AM$5:$AQ$12,4,TRUE)</f>
        <v>6219K84</v>
      </c>
      <c r="G6" s="37" t="str">
        <f t="shared" ref="G6:G69" si="6">VLOOKUP(AI6,$AM$5:$AQ$12,4,TRUE)</f>
        <v>6219K84</v>
      </c>
      <c r="H6" s="37" t="str">
        <f t="shared" ref="H6:H69" si="7">VLOOKUP(AJ6,$AM$5:$AQ$12,4,TRUE)</f>
        <v>6219K72</v>
      </c>
      <c r="I6" s="37" t="str">
        <f t="shared" ref="I6:I69" si="8">VLOOKUP(AK6,$AM$5:$AQ$12,4,TRUE)</f>
        <v>6219K72</v>
      </c>
      <c r="J6" s="56" t="str">
        <f t="shared" ref="J6:J67" si="9">VLOOKUP(AH6,$AM$5:$AQ$12,3,TRUE)</f>
        <v>Tan</v>
      </c>
      <c r="K6" s="56" t="str">
        <f t="shared" si="1"/>
        <v>Tan</v>
      </c>
      <c r="L6" s="56" t="str">
        <f t="shared" si="1"/>
        <v xml:space="preserve">Red </v>
      </c>
      <c r="M6" s="56" t="str">
        <f t="shared" si="1"/>
        <v xml:space="preserve">Red </v>
      </c>
      <c r="N6" s="56" t="str">
        <f t="shared" ref="N6:N69" si="10">VLOOKUP(AH6,$AM$5:$AQ$12,5,TRUE)</f>
        <v>42-081</v>
      </c>
      <c r="O6" s="56" t="str">
        <f t="shared" ref="O6:O69" si="11">VLOOKUP(AI6,$AM$5:$AQ$12,5,TRUE)</f>
        <v>42-081</v>
      </c>
      <c r="P6" s="56" t="str">
        <f t="shared" ref="P6:P69" si="12">VLOOKUP(AJ6,$AM$5:$AQ$12,5,TRUE)</f>
        <v>42-082</v>
      </c>
      <c r="Q6" s="56" t="str">
        <f t="shared" ref="Q6:Q69" si="13">VLOOKUP(AK6,$AM$5:$AQ$12,5,TRUE)</f>
        <v>42-082</v>
      </c>
      <c r="R6" s="37">
        <v>69</v>
      </c>
      <c r="S6" s="37">
        <v>20.440000000000001</v>
      </c>
      <c r="T6" s="37">
        <v>9.68</v>
      </c>
      <c r="U6" s="37">
        <v>299.29000000000002</v>
      </c>
      <c r="V6" s="37">
        <v>17.03</v>
      </c>
      <c r="W6" s="37">
        <v>32.4</v>
      </c>
      <c r="X6" s="37">
        <f t="shared" si="2"/>
        <v>17.668871541448315</v>
      </c>
      <c r="Y6" s="37">
        <f t="shared" si="3"/>
        <v>28.14335442178718</v>
      </c>
      <c r="Z6" s="37">
        <v>33.18</v>
      </c>
      <c r="AA6" s="37">
        <v>47.5</v>
      </c>
      <c r="AB6" s="37">
        <f t="shared" ref="AB6:AB69" si="14">R6+U6</f>
        <v>368.29</v>
      </c>
      <c r="AC6" s="37">
        <f t="shared" ref="AC6:AC69" si="15">1-AD6</f>
        <v>0.46748428145122622</v>
      </c>
      <c r="AD6" s="37">
        <f t="shared" ref="AD6:AD69" si="16">(X6/Z6)</f>
        <v>0.53251571854877378</v>
      </c>
      <c r="AE6" s="37">
        <f t="shared" ref="AE6:AE69" si="17">1-AF6</f>
        <v>0.40750832796237513</v>
      </c>
      <c r="AF6" s="37">
        <f t="shared" si="4"/>
        <v>0.59249167203762487</v>
      </c>
      <c r="AG6" s="37">
        <v>1</v>
      </c>
      <c r="AH6" s="37">
        <f t="shared" ref="AH6:AH69" si="18">AB6*AC6*AE6*AG6</f>
        <v>70.16062162488646</v>
      </c>
      <c r="AI6" s="37">
        <f t="shared" ref="AI6:AI69" si="19">AB6*AD6*AE6*AG6</f>
        <v>79.920620480376684</v>
      </c>
      <c r="AJ6" s="37">
        <f t="shared" ref="AJ6:AJ69" si="20">AB6*AC6*AF6*AG6</f>
        <v>102.00916439078566</v>
      </c>
      <c r="AK6" s="37">
        <f t="shared" ref="AK6:AK69" si="21">AB6*AD6*AF6*AG6</f>
        <v>116.19959350395122</v>
      </c>
      <c r="AL6" s="2"/>
      <c r="AM6" s="60">
        <v>50</v>
      </c>
      <c r="AN6" s="60">
        <v>100</v>
      </c>
      <c r="AO6" s="60" t="s">
        <v>92</v>
      </c>
      <c r="AP6" s="60" t="s">
        <v>93</v>
      </c>
      <c r="AQ6" s="60" t="s">
        <v>94</v>
      </c>
    </row>
    <row r="7" spans="1:43" x14ac:dyDescent="0.2">
      <c r="A7" s="33"/>
      <c r="B7" s="51" t="s">
        <v>27</v>
      </c>
      <c r="C7" s="51" t="s">
        <v>84</v>
      </c>
      <c r="D7" s="51">
        <v>3</v>
      </c>
      <c r="E7" s="51" t="s">
        <v>45</v>
      </c>
      <c r="F7" s="37" t="str">
        <f t="shared" si="5"/>
        <v>6219K84</v>
      </c>
      <c r="G7" s="37" t="str">
        <f t="shared" si="6"/>
        <v>6219K84</v>
      </c>
      <c r="H7" s="37" t="str">
        <f t="shared" si="7"/>
        <v>6219K84</v>
      </c>
      <c r="I7" s="37" t="str">
        <f t="shared" si="8"/>
        <v>6219K84</v>
      </c>
      <c r="J7" s="56" t="str">
        <f t="shared" si="9"/>
        <v>Tan</v>
      </c>
      <c r="K7" s="56" t="str">
        <f t="shared" si="1"/>
        <v>Tan</v>
      </c>
      <c r="L7" s="56" t="str">
        <f t="shared" si="1"/>
        <v>Tan</v>
      </c>
      <c r="M7" s="56" t="str">
        <f t="shared" si="1"/>
        <v>Tan</v>
      </c>
      <c r="N7" s="56" t="str">
        <f t="shared" si="10"/>
        <v>42-081</v>
      </c>
      <c r="O7" s="56" t="str">
        <f>VLOOKUP(AI7,$AM$5:$AQ$12,5,TRUE)</f>
        <v>42-081</v>
      </c>
      <c r="P7" s="56" t="str">
        <f t="shared" si="12"/>
        <v>42-081</v>
      </c>
      <c r="Q7" s="56" t="str">
        <f t="shared" si="13"/>
        <v>42-081</v>
      </c>
      <c r="R7" s="37">
        <v>69</v>
      </c>
      <c r="S7" s="37">
        <v>20.440000000000001</v>
      </c>
      <c r="T7" s="37">
        <v>9.68</v>
      </c>
      <c r="U7" s="37">
        <v>278.39</v>
      </c>
      <c r="V7" s="37">
        <v>16.77</v>
      </c>
      <c r="W7" s="37">
        <v>28.74</v>
      </c>
      <c r="X7" s="37">
        <f t="shared" si="2"/>
        <v>17.49895017127724</v>
      </c>
      <c r="Y7" s="37">
        <f t="shared" si="3"/>
        <v>24.954226085955266</v>
      </c>
      <c r="Z7" s="37">
        <v>33.18</v>
      </c>
      <c r="AA7" s="37">
        <v>47.5</v>
      </c>
      <c r="AB7" s="37">
        <f t="shared" si="14"/>
        <v>347.39</v>
      </c>
      <c r="AC7" s="37">
        <f t="shared" si="15"/>
        <v>0.4726054800700048</v>
      </c>
      <c r="AD7" s="37">
        <f t="shared" si="16"/>
        <v>0.5273945199299952</v>
      </c>
      <c r="AE7" s="37">
        <f t="shared" si="17"/>
        <v>0.47464787187462598</v>
      </c>
      <c r="AF7" s="37">
        <f t="shared" si="4"/>
        <v>0.52535212812537402</v>
      </c>
      <c r="AG7" s="37">
        <v>1</v>
      </c>
      <c r="AH7" s="37">
        <f t="shared" si="18"/>
        <v>77.92693657926236</v>
      </c>
      <c r="AI7" s="37">
        <f t="shared" si="19"/>
        <v>86.960987631263947</v>
      </c>
      <c r="AJ7" s="37">
        <f t="shared" si="20"/>
        <v>86.251481142256608</v>
      </c>
      <c r="AK7" s="37">
        <f t="shared" si="21"/>
        <v>96.250594647217071</v>
      </c>
      <c r="AL7" s="2"/>
      <c r="AM7" s="60">
        <v>100</v>
      </c>
      <c r="AN7" s="60">
        <v>150</v>
      </c>
      <c r="AO7" s="60" t="s">
        <v>95</v>
      </c>
      <c r="AP7" s="60" t="s">
        <v>96</v>
      </c>
      <c r="AQ7" s="60" t="s">
        <v>97</v>
      </c>
    </row>
    <row r="8" spans="1:43" x14ac:dyDescent="0.2">
      <c r="B8" s="51" t="s">
        <v>27</v>
      </c>
      <c r="C8" s="51" t="s">
        <v>74</v>
      </c>
      <c r="D8" s="51">
        <v>5</v>
      </c>
      <c r="E8" s="51" t="s">
        <v>45</v>
      </c>
      <c r="F8" s="37" t="str">
        <f t="shared" si="5"/>
        <v>6219K84</v>
      </c>
      <c r="G8" s="37" t="str">
        <f t="shared" si="6"/>
        <v>6219K84</v>
      </c>
      <c r="H8" s="37" t="str">
        <f t="shared" si="7"/>
        <v>6219K72</v>
      </c>
      <c r="I8" s="37" t="str">
        <f t="shared" si="8"/>
        <v>6219K72</v>
      </c>
      <c r="J8" s="56" t="str">
        <f t="shared" si="9"/>
        <v>Tan</v>
      </c>
      <c r="K8" s="56" t="str">
        <f t="shared" si="1"/>
        <v>Tan</v>
      </c>
      <c r="L8" s="56" t="str">
        <f t="shared" si="1"/>
        <v xml:space="preserve">Red </v>
      </c>
      <c r="M8" s="56" t="str">
        <f t="shared" si="1"/>
        <v xml:space="preserve">Red </v>
      </c>
      <c r="N8" s="56" t="str">
        <f t="shared" si="10"/>
        <v>42-081</v>
      </c>
      <c r="O8" s="56" t="str">
        <f t="shared" si="11"/>
        <v>42-081</v>
      </c>
      <c r="P8" s="56" t="str">
        <f t="shared" si="12"/>
        <v>42-082</v>
      </c>
      <c r="Q8" s="56" t="str">
        <f t="shared" si="13"/>
        <v>42-082</v>
      </c>
      <c r="R8" s="37">
        <v>84</v>
      </c>
      <c r="S8" s="37">
        <v>20.440000000000001</v>
      </c>
      <c r="T8" s="37">
        <v>9.68</v>
      </c>
      <c r="U8" s="37">
        <v>299.29000000000002</v>
      </c>
      <c r="V8" s="37">
        <v>17.03</v>
      </c>
      <c r="W8" s="37">
        <v>32.4</v>
      </c>
      <c r="X8" s="37">
        <f t="shared" si="2"/>
        <v>17.777319262177464</v>
      </c>
      <c r="Y8" s="37">
        <f t="shared" si="3"/>
        <v>27.420793654934908</v>
      </c>
      <c r="Z8" s="37">
        <v>33.18</v>
      </c>
      <c r="AA8" s="37">
        <v>47.5</v>
      </c>
      <c r="AB8" s="37">
        <f t="shared" si="14"/>
        <v>383.29</v>
      </c>
      <c r="AC8" s="37">
        <f t="shared" si="15"/>
        <v>0.46421581488313846</v>
      </c>
      <c r="AD8" s="37">
        <f t="shared" si="16"/>
        <v>0.53578418511686154</v>
      </c>
      <c r="AE8" s="37">
        <f t="shared" si="17"/>
        <v>0.42272013358031768</v>
      </c>
      <c r="AF8" s="37">
        <f t="shared" si="4"/>
        <v>0.57727986641968232</v>
      </c>
      <c r="AG8" s="37">
        <v>1</v>
      </c>
      <c r="AH8" s="37">
        <f t="shared" si="18"/>
        <v>75.214288876951571</v>
      </c>
      <c r="AI8" s="37">
        <f t="shared" si="19"/>
        <v>86.810111123048401</v>
      </c>
      <c r="AJ8" s="37">
        <f t="shared" si="20"/>
        <v>102.71499080960658</v>
      </c>
      <c r="AK8" s="37">
        <f t="shared" si="21"/>
        <v>118.55060919039347</v>
      </c>
      <c r="AL8" s="2"/>
      <c r="AM8" s="60">
        <v>150</v>
      </c>
      <c r="AN8" s="60">
        <v>250</v>
      </c>
      <c r="AO8" s="60" t="s">
        <v>98</v>
      </c>
      <c r="AP8" s="60" t="s">
        <v>99</v>
      </c>
      <c r="AQ8" s="60" t="s">
        <v>100</v>
      </c>
    </row>
    <row r="9" spans="1:43" x14ac:dyDescent="0.2">
      <c r="B9" s="51" t="s">
        <v>27</v>
      </c>
      <c r="C9" s="51" t="s">
        <v>83</v>
      </c>
      <c r="D9" s="51">
        <v>5</v>
      </c>
      <c r="E9" s="51" t="s">
        <v>45</v>
      </c>
      <c r="F9" s="37" t="str">
        <f t="shared" si="5"/>
        <v>6219K84</v>
      </c>
      <c r="G9" s="37" t="str">
        <f t="shared" si="6"/>
        <v>6219K84</v>
      </c>
      <c r="H9" s="37" t="str">
        <f t="shared" si="7"/>
        <v>6219K72</v>
      </c>
      <c r="I9" s="37" t="str">
        <f t="shared" si="8"/>
        <v>6219K72</v>
      </c>
      <c r="J9" s="56" t="str">
        <f t="shared" si="9"/>
        <v>Tan</v>
      </c>
      <c r="K9" s="56" t="str">
        <f t="shared" si="1"/>
        <v>Tan</v>
      </c>
      <c r="L9" s="56" t="str">
        <f t="shared" si="1"/>
        <v xml:space="preserve">Red </v>
      </c>
      <c r="M9" s="56" t="str">
        <f t="shared" si="1"/>
        <v xml:space="preserve">Red </v>
      </c>
      <c r="N9" s="56" t="str">
        <f t="shared" si="10"/>
        <v>42-081</v>
      </c>
      <c r="O9" s="56" t="str">
        <f t="shared" si="11"/>
        <v>42-081</v>
      </c>
      <c r="P9" s="56" t="str">
        <f t="shared" si="12"/>
        <v>42-082</v>
      </c>
      <c r="Q9" s="56" t="str">
        <f t="shared" si="13"/>
        <v>42-082</v>
      </c>
      <c r="R9" s="37">
        <v>84</v>
      </c>
      <c r="S9" s="37">
        <v>20.440000000000001</v>
      </c>
      <c r="T9" s="37">
        <v>9.68</v>
      </c>
      <c r="U9" s="37">
        <v>299.29000000000002</v>
      </c>
      <c r="V9" s="37">
        <v>17.03</v>
      </c>
      <c r="W9" s="37">
        <v>32.4</v>
      </c>
      <c r="X9" s="37">
        <f t="shared" si="2"/>
        <v>17.777319262177464</v>
      </c>
      <c r="Y9" s="37">
        <f t="shared" si="3"/>
        <v>27.420793654934908</v>
      </c>
      <c r="Z9" s="37">
        <v>33.18</v>
      </c>
      <c r="AA9" s="37">
        <v>47.5</v>
      </c>
      <c r="AB9" s="37">
        <f t="shared" si="14"/>
        <v>383.29</v>
      </c>
      <c r="AC9" s="37">
        <f t="shared" si="15"/>
        <v>0.46421581488313846</v>
      </c>
      <c r="AD9" s="37">
        <f t="shared" si="16"/>
        <v>0.53578418511686154</v>
      </c>
      <c r="AE9" s="37">
        <f t="shared" si="17"/>
        <v>0.42272013358031768</v>
      </c>
      <c r="AF9" s="37">
        <f t="shared" si="4"/>
        <v>0.57727986641968232</v>
      </c>
      <c r="AG9" s="37">
        <v>1</v>
      </c>
      <c r="AH9" s="37">
        <f t="shared" si="18"/>
        <v>75.214288876951571</v>
      </c>
      <c r="AI9" s="37">
        <f t="shared" si="19"/>
        <v>86.810111123048401</v>
      </c>
      <c r="AJ9" s="37">
        <f t="shared" si="20"/>
        <v>102.71499080960658</v>
      </c>
      <c r="AK9" s="37">
        <f t="shared" si="21"/>
        <v>118.55060919039347</v>
      </c>
      <c r="AL9" s="2"/>
      <c r="AM9" s="60">
        <v>250</v>
      </c>
      <c r="AN9" s="60">
        <v>370</v>
      </c>
      <c r="AO9" s="60" t="s">
        <v>101</v>
      </c>
      <c r="AP9" s="60" t="s">
        <v>102</v>
      </c>
      <c r="AQ9" s="60" t="s">
        <v>80</v>
      </c>
    </row>
    <row r="10" spans="1:43" x14ac:dyDescent="0.2">
      <c r="B10" s="51" t="s">
        <v>27</v>
      </c>
      <c r="C10" s="51" t="s">
        <v>84</v>
      </c>
      <c r="D10" s="51">
        <v>5</v>
      </c>
      <c r="E10" s="51" t="s">
        <v>45</v>
      </c>
      <c r="F10" s="37" t="str">
        <f t="shared" si="5"/>
        <v>6219K84</v>
      </c>
      <c r="G10" s="37" t="str">
        <f t="shared" si="6"/>
        <v>6219K84</v>
      </c>
      <c r="H10" s="37" t="str">
        <f t="shared" si="7"/>
        <v>6219K84</v>
      </c>
      <c r="I10" s="37" t="str">
        <f t="shared" si="8"/>
        <v>6219K84</v>
      </c>
      <c r="J10" s="56" t="str">
        <f t="shared" si="9"/>
        <v>Tan</v>
      </c>
      <c r="K10" s="56" t="str">
        <f t="shared" si="1"/>
        <v>Tan</v>
      </c>
      <c r="L10" s="56" t="str">
        <f t="shared" si="1"/>
        <v>Tan</v>
      </c>
      <c r="M10" s="56" t="str">
        <f t="shared" si="1"/>
        <v>Tan</v>
      </c>
      <c r="N10" s="56" t="str">
        <f t="shared" si="10"/>
        <v>42-081</v>
      </c>
      <c r="O10" s="56" t="str">
        <f t="shared" si="11"/>
        <v>42-081</v>
      </c>
      <c r="P10" s="56" t="str">
        <f t="shared" si="12"/>
        <v>42-081</v>
      </c>
      <c r="Q10" s="56" t="str">
        <f t="shared" si="13"/>
        <v>42-081</v>
      </c>
      <c r="R10" s="37">
        <v>84</v>
      </c>
      <c r="S10" s="37">
        <v>20.440000000000001</v>
      </c>
      <c r="T10" s="37">
        <v>9.68</v>
      </c>
      <c r="U10" s="37">
        <v>278.39</v>
      </c>
      <c r="V10" s="37">
        <v>16.77</v>
      </c>
      <c r="W10" s="37">
        <v>28.74</v>
      </c>
      <c r="X10" s="37">
        <f t="shared" si="2"/>
        <v>17.620685725323547</v>
      </c>
      <c r="Y10" s="37">
        <f t="shared" si="3"/>
        <v>24.321997295731119</v>
      </c>
      <c r="Z10" s="37">
        <v>33.18</v>
      </c>
      <c r="AA10" s="37">
        <v>47.5</v>
      </c>
      <c r="AB10" s="37">
        <f t="shared" si="14"/>
        <v>362.39</v>
      </c>
      <c r="AC10" s="37">
        <f t="shared" si="15"/>
        <v>0.46893653630730725</v>
      </c>
      <c r="AD10" s="37">
        <f t="shared" si="16"/>
        <v>0.53106346369269275</v>
      </c>
      <c r="AE10" s="37">
        <f t="shared" si="17"/>
        <v>0.4879579516688185</v>
      </c>
      <c r="AF10" s="37">
        <f t="shared" si="4"/>
        <v>0.5120420483311815</v>
      </c>
      <c r="AG10" s="37">
        <v>1</v>
      </c>
      <c r="AH10" s="37">
        <f t="shared" si="18"/>
        <v>82.922555153915141</v>
      </c>
      <c r="AI10" s="37">
        <f t="shared" si="19"/>
        <v>93.90852695134798</v>
      </c>
      <c r="AJ10" s="37">
        <f t="shared" si="20"/>
        <v>87.015356238489915</v>
      </c>
      <c r="AK10" s="37">
        <f t="shared" si="21"/>
        <v>98.543561656246951</v>
      </c>
      <c r="AL10" s="2"/>
      <c r="AM10" s="60">
        <v>370</v>
      </c>
      <c r="AN10" s="60">
        <v>520</v>
      </c>
      <c r="AO10" s="60" t="s">
        <v>103</v>
      </c>
      <c r="AP10" s="60" t="s">
        <v>104</v>
      </c>
      <c r="AQ10" s="60" t="s">
        <v>81</v>
      </c>
    </row>
    <row r="11" spans="1:43" x14ac:dyDescent="0.2">
      <c r="B11" s="51" t="s">
        <v>27</v>
      </c>
      <c r="C11" s="51" t="s">
        <v>74</v>
      </c>
      <c r="D11" s="51">
        <v>7.5</v>
      </c>
      <c r="E11" s="51" t="s">
        <v>45</v>
      </c>
      <c r="F11" s="37" t="str">
        <f t="shared" si="5"/>
        <v>6219K84</v>
      </c>
      <c r="G11" s="37" t="str">
        <f t="shared" si="6"/>
        <v>6219K72</v>
      </c>
      <c r="H11" s="37" t="str">
        <f t="shared" si="7"/>
        <v>6219K72</v>
      </c>
      <c r="I11" s="37" t="str">
        <f t="shared" si="8"/>
        <v>6219K72</v>
      </c>
      <c r="J11" s="56" t="str">
        <f t="shared" si="9"/>
        <v>Tan</v>
      </c>
      <c r="K11" s="56" t="str">
        <f t="shared" si="1"/>
        <v xml:space="preserve">Red </v>
      </c>
      <c r="L11" s="56" t="str">
        <f t="shared" si="1"/>
        <v xml:space="preserve">Red </v>
      </c>
      <c r="M11" s="56" t="str">
        <f t="shared" si="1"/>
        <v xml:space="preserve">Red </v>
      </c>
      <c r="N11" s="56" t="str">
        <f t="shared" si="10"/>
        <v>42-081</v>
      </c>
      <c r="O11" s="56" t="str">
        <f t="shared" si="11"/>
        <v>42-082</v>
      </c>
      <c r="P11" s="56" t="str">
        <f t="shared" si="12"/>
        <v>42-082</v>
      </c>
      <c r="Q11" s="56" t="str">
        <f t="shared" si="13"/>
        <v>42-082</v>
      </c>
      <c r="R11" s="37">
        <v>115</v>
      </c>
      <c r="S11" s="37">
        <v>20.440000000000001</v>
      </c>
      <c r="T11" s="37">
        <v>9.68</v>
      </c>
      <c r="U11" s="37">
        <v>299.29000000000002</v>
      </c>
      <c r="V11" s="37">
        <v>17.03</v>
      </c>
      <c r="W11" s="37">
        <v>32.4</v>
      </c>
      <c r="X11" s="37">
        <f t="shared" si="2"/>
        <v>17.976559173525793</v>
      </c>
      <c r="Y11" s="37">
        <f t="shared" si="3"/>
        <v>26.093306620965993</v>
      </c>
      <c r="Z11" s="37">
        <v>33.18</v>
      </c>
      <c r="AA11" s="37">
        <v>47.5</v>
      </c>
      <c r="AB11" s="37">
        <f t="shared" si="14"/>
        <v>414.29</v>
      </c>
      <c r="AC11" s="37">
        <f t="shared" si="15"/>
        <v>0.45821099537294174</v>
      </c>
      <c r="AD11" s="37">
        <f t="shared" si="16"/>
        <v>0.54178900462705826</v>
      </c>
      <c r="AE11" s="37">
        <f t="shared" si="17"/>
        <v>0.45066722903229484</v>
      </c>
      <c r="AF11" s="37">
        <f t="shared" si="4"/>
        <v>0.54933277096770516</v>
      </c>
      <c r="AG11" s="37">
        <v>1</v>
      </c>
      <c r="AH11" s="37">
        <f t="shared" si="18"/>
        <v>85.551166550180369</v>
      </c>
      <c r="AI11" s="37">
        <f t="shared" si="19"/>
        <v>101.15575976560908</v>
      </c>
      <c r="AJ11" s="37">
        <f t="shared" si="20"/>
        <v>104.28106672287566</v>
      </c>
      <c r="AK11" s="37">
        <f t="shared" si="21"/>
        <v>123.30200696133491</v>
      </c>
      <c r="AL11" s="2"/>
      <c r="AM11" s="60">
        <v>520</v>
      </c>
      <c r="AN11" s="60">
        <v>675</v>
      </c>
      <c r="AO11" s="60" t="s">
        <v>105</v>
      </c>
      <c r="AP11" s="60" t="s">
        <v>106</v>
      </c>
      <c r="AQ11" s="60" t="s">
        <v>79</v>
      </c>
    </row>
    <row r="12" spans="1:43" x14ac:dyDescent="0.2">
      <c r="B12" s="51" t="s">
        <v>27</v>
      </c>
      <c r="C12" s="51" t="s">
        <v>83</v>
      </c>
      <c r="D12" s="51">
        <v>7.5</v>
      </c>
      <c r="E12" s="51" t="s">
        <v>45</v>
      </c>
      <c r="F12" s="37" t="str">
        <f t="shared" si="5"/>
        <v>6219K84</v>
      </c>
      <c r="G12" s="37" t="str">
        <f t="shared" si="6"/>
        <v>6219K72</v>
      </c>
      <c r="H12" s="37" t="str">
        <f t="shared" si="7"/>
        <v>6219K72</v>
      </c>
      <c r="I12" s="37" t="str">
        <f t="shared" si="8"/>
        <v>6219K72</v>
      </c>
      <c r="J12" s="56" t="str">
        <f t="shared" si="9"/>
        <v>Tan</v>
      </c>
      <c r="K12" s="56" t="str">
        <f t="shared" si="1"/>
        <v xml:space="preserve">Red </v>
      </c>
      <c r="L12" s="56" t="str">
        <f t="shared" si="1"/>
        <v xml:space="preserve">Red </v>
      </c>
      <c r="M12" s="56" t="str">
        <f t="shared" si="1"/>
        <v xml:space="preserve">Red </v>
      </c>
      <c r="N12" s="56" t="str">
        <f t="shared" si="10"/>
        <v>42-081</v>
      </c>
      <c r="O12" s="56" t="str">
        <f t="shared" si="11"/>
        <v>42-082</v>
      </c>
      <c r="P12" s="56" t="str">
        <f t="shared" si="12"/>
        <v>42-082</v>
      </c>
      <c r="Q12" s="56" t="str">
        <f t="shared" si="13"/>
        <v>42-082</v>
      </c>
      <c r="R12" s="37">
        <v>115</v>
      </c>
      <c r="S12" s="37">
        <v>20.440000000000001</v>
      </c>
      <c r="T12" s="37">
        <v>9.68</v>
      </c>
      <c r="U12" s="37">
        <v>299.29000000000002</v>
      </c>
      <c r="V12" s="37">
        <v>17.03</v>
      </c>
      <c r="W12" s="37">
        <v>32.4</v>
      </c>
      <c r="X12" s="37">
        <f t="shared" si="2"/>
        <v>17.976559173525793</v>
      </c>
      <c r="Y12" s="37">
        <f t="shared" si="3"/>
        <v>26.093306620965993</v>
      </c>
      <c r="Z12" s="37">
        <v>33.18</v>
      </c>
      <c r="AA12" s="37">
        <v>47.5</v>
      </c>
      <c r="AB12" s="37">
        <f t="shared" si="14"/>
        <v>414.29</v>
      </c>
      <c r="AC12" s="37">
        <f t="shared" si="15"/>
        <v>0.45821099537294174</v>
      </c>
      <c r="AD12" s="37">
        <f t="shared" si="16"/>
        <v>0.54178900462705826</v>
      </c>
      <c r="AE12" s="37">
        <f t="shared" si="17"/>
        <v>0.45066722903229484</v>
      </c>
      <c r="AF12" s="37">
        <f t="shared" si="4"/>
        <v>0.54933277096770516</v>
      </c>
      <c r="AG12" s="37">
        <v>1</v>
      </c>
      <c r="AH12" s="37">
        <f t="shared" si="18"/>
        <v>85.551166550180369</v>
      </c>
      <c r="AI12" s="37">
        <f t="shared" si="19"/>
        <v>101.15575976560908</v>
      </c>
      <c r="AJ12" s="37">
        <f t="shared" si="20"/>
        <v>104.28106672287566</v>
      </c>
      <c r="AK12" s="37">
        <f t="shared" si="21"/>
        <v>123.30200696133491</v>
      </c>
      <c r="AL12" s="2"/>
      <c r="AM12" s="61">
        <v>700</v>
      </c>
      <c r="AN12" s="60" t="s">
        <v>79</v>
      </c>
      <c r="AO12" s="60" t="s">
        <v>79</v>
      </c>
      <c r="AP12" s="60" t="s">
        <v>79</v>
      </c>
      <c r="AQ12" s="60" t="s">
        <v>79</v>
      </c>
    </row>
    <row r="13" spans="1:43" x14ac:dyDescent="0.2">
      <c r="B13" s="51" t="s">
        <v>27</v>
      </c>
      <c r="C13" s="51" t="s">
        <v>84</v>
      </c>
      <c r="D13" s="51">
        <v>7.5</v>
      </c>
      <c r="E13" s="51" t="s">
        <v>45</v>
      </c>
      <c r="F13" s="37" t="str">
        <f t="shared" si="5"/>
        <v>6219K84</v>
      </c>
      <c r="G13" s="37" t="str">
        <f t="shared" si="6"/>
        <v>6219K72</v>
      </c>
      <c r="H13" s="37" t="str">
        <f t="shared" si="7"/>
        <v>6219K84</v>
      </c>
      <c r="I13" s="37" t="str">
        <f t="shared" si="8"/>
        <v>6219K72</v>
      </c>
      <c r="J13" s="56" t="str">
        <f t="shared" si="9"/>
        <v>Tan</v>
      </c>
      <c r="K13" s="56" t="str">
        <f t="shared" si="1"/>
        <v xml:space="preserve">Red </v>
      </c>
      <c r="L13" s="56" t="str">
        <f t="shared" si="1"/>
        <v>Tan</v>
      </c>
      <c r="M13" s="56" t="str">
        <f t="shared" si="1"/>
        <v xml:space="preserve">Red </v>
      </c>
      <c r="N13" s="56" t="str">
        <f t="shared" si="10"/>
        <v>42-081</v>
      </c>
      <c r="O13" s="56" t="str">
        <f t="shared" si="11"/>
        <v>42-082</v>
      </c>
      <c r="P13" s="56" t="str">
        <f t="shared" si="12"/>
        <v>42-081</v>
      </c>
      <c r="Q13" s="56" t="str">
        <f t="shared" si="13"/>
        <v>42-082</v>
      </c>
      <c r="R13" s="37">
        <v>115</v>
      </c>
      <c r="S13" s="37">
        <v>20.440000000000001</v>
      </c>
      <c r="T13" s="37">
        <v>9.68</v>
      </c>
      <c r="U13" s="37">
        <v>278.39</v>
      </c>
      <c r="V13" s="37">
        <v>16.77</v>
      </c>
      <c r="W13" s="37">
        <v>28.74</v>
      </c>
      <c r="X13" s="37">
        <f t="shared" si="2"/>
        <v>17.842853910877249</v>
      </c>
      <c r="Y13" s="37">
        <f t="shared" si="3"/>
        <v>23.168175601820078</v>
      </c>
      <c r="Z13" s="37">
        <v>33.18</v>
      </c>
      <c r="AA13" s="37">
        <v>47.5</v>
      </c>
      <c r="AB13" s="37">
        <f t="shared" si="14"/>
        <v>393.39</v>
      </c>
      <c r="AC13" s="37">
        <f t="shared" si="15"/>
        <v>0.46224068984697864</v>
      </c>
      <c r="AD13" s="37">
        <f t="shared" si="16"/>
        <v>0.53775931015302136</v>
      </c>
      <c r="AE13" s="37">
        <f t="shared" si="17"/>
        <v>0.51224893469852462</v>
      </c>
      <c r="AF13" s="37">
        <f t="shared" si="4"/>
        <v>0.48775106530147533</v>
      </c>
      <c r="AG13" s="37">
        <v>1</v>
      </c>
      <c r="AH13" s="37">
        <f t="shared" si="18"/>
        <v>93.147789370101265</v>
      </c>
      <c r="AI13" s="37">
        <f t="shared" si="19"/>
        <v>108.36581905095132</v>
      </c>
      <c r="AJ13" s="37">
        <f t="shared" si="20"/>
        <v>88.693075608801635</v>
      </c>
      <c r="AK13" s="37">
        <f t="shared" si="21"/>
        <v>103.18331597014574</v>
      </c>
      <c r="AL13" s="2"/>
    </row>
    <row r="14" spans="1:43" x14ac:dyDescent="0.2">
      <c r="B14" s="51" t="s">
        <v>28</v>
      </c>
      <c r="C14" s="51" t="s">
        <v>74</v>
      </c>
      <c r="D14" s="51">
        <v>5</v>
      </c>
      <c r="E14" s="51" t="s">
        <v>45</v>
      </c>
      <c r="F14" s="37" t="str">
        <f t="shared" si="5"/>
        <v>6219K84</v>
      </c>
      <c r="G14" s="37" t="str">
        <f t="shared" si="6"/>
        <v>6219K72</v>
      </c>
      <c r="H14" s="37" t="str">
        <f t="shared" si="7"/>
        <v>6219K72</v>
      </c>
      <c r="I14" s="37" t="str">
        <f t="shared" si="8"/>
        <v>6219K72</v>
      </c>
      <c r="J14" s="56" t="str">
        <f t="shared" si="9"/>
        <v>Tan</v>
      </c>
      <c r="K14" s="56" t="str">
        <f t="shared" si="1"/>
        <v xml:space="preserve">Red </v>
      </c>
      <c r="L14" s="56" t="str">
        <f t="shared" si="1"/>
        <v xml:space="preserve">Red </v>
      </c>
      <c r="M14" s="56" t="str">
        <f t="shared" si="1"/>
        <v xml:space="preserve">Red </v>
      </c>
      <c r="N14" s="56" t="str">
        <f t="shared" si="10"/>
        <v>42-081</v>
      </c>
      <c r="O14" s="56" t="str">
        <f t="shared" si="11"/>
        <v>42-082</v>
      </c>
      <c r="P14" s="56" t="str">
        <f t="shared" si="12"/>
        <v>42-082</v>
      </c>
      <c r="Q14" s="56" t="str">
        <f t="shared" si="13"/>
        <v>42-082</v>
      </c>
      <c r="R14" s="37">
        <v>84</v>
      </c>
      <c r="S14" s="37">
        <v>23.26</v>
      </c>
      <c r="T14" s="37">
        <v>9.75</v>
      </c>
      <c r="U14" s="37">
        <v>371.5</v>
      </c>
      <c r="V14" s="37">
        <v>18.41</v>
      </c>
      <c r="W14" s="37">
        <v>34.51</v>
      </c>
      <c r="X14" s="37">
        <f t="shared" si="2"/>
        <v>19.304401756311744</v>
      </c>
      <c r="Y14" s="37">
        <f t="shared" si="3"/>
        <v>29.943940724478594</v>
      </c>
      <c r="Z14" s="37">
        <v>35.979999999999997</v>
      </c>
      <c r="AA14" s="37">
        <v>51.84</v>
      </c>
      <c r="AB14" s="37">
        <f t="shared" si="14"/>
        <v>455.5</v>
      </c>
      <c r="AC14" s="37">
        <f t="shared" si="15"/>
        <v>0.46346854484959021</v>
      </c>
      <c r="AD14" s="37">
        <f t="shared" si="16"/>
        <v>0.53653145515040979</v>
      </c>
      <c r="AE14" s="37">
        <f t="shared" si="17"/>
        <v>0.42237768664200248</v>
      </c>
      <c r="AF14" s="37">
        <f t="shared" si="4"/>
        <v>0.57762231335799752</v>
      </c>
      <c r="AG14" s="37">
        <v>1</v>
      </c>
      <c r="AH14" s="37">
        <f t="shared" si="18"/>
        <v>89.168120557134273</v>
      </c>
      <c r="AI14" s="37">
        <f t="shared" si="19"/>
        <v>103.22491570829786</v>
      </c>
      <c r="AJ14" s="37">
        <f t="shared" si="20"/>
        <v>121.94180162185407</v>
      </c>
      <c r="AK14" s="37">
        <f t="shared" si="21"/>
        <v>141.1651621127138</v>
      </c>
      <c r="AL14" s="2"/>
      <c r="AM14" t="s">
        <v>107</v>
      </c>
    </row>
    <row r="15" spans="1:43" x14ac:dyDescent="0.2">
      <c r="B15" s="51" t="s">
        <v>28</v>
      </c>
      <c r="C15" s="51" t="s">
        <v>83</v>
      </c>
      <c r="D15" s="51">
        <v>5</v>
      </c>
      <c r="E15" s="51" t="s">
        <v>45</v>
      </c>
      <c r="F15" s="37" t="str">
        <f t="shared" si="5"/>
        <v>6219K84</v>
      </c>
      <c r="G15" s="37" t="str">
        <f t="shared" si="6"/>
        <v>6219K72</v>
      </c>
      <c r="H15" s="37" t="str">
        <f t="shared" si="7"/>
        <v>6219K72</v>
      </c>
      <c r="I15" s="37" t="str">
        <f t="shared" si="8"/>
        <v>6219K72</v>
      </c>
      <c r="J15" s="56" t="str">
        <f t="shared" si="9"/>
        <v>Tan</v>
      </c>
      <c r="K15" s="56" t="str">
        <f t="shared" si="1"/>
        <v xml:space="preserve">Red </v>
      </c>
      <c r="L15" s="56" t="str">
        <f t="shared" si="1"/>
        <v xml:space="preserve">Red </v>
      </c>
      <c r="M15" s="56" t="str">
        <f t="shared" si="1"/>
        <v xml:space="preserve">Red </v>
      </c>
      <c r="N15" s="56" t="str">
        <f t="shared" si="10"/>
        <v>42-081</v>
      </c>
      <c r="O15" s="56" t="str">
        <f t="shared" si="11"/>
        <v>42-082</v>
      </c>
      <c r="P15" s="56" t="str">
        <f t="shared" si="12"/>
        <v>42-082</v>
      </c>
      <c r="Q15" s="56" t="str">
        <f t="shared" si="13"/>
        <v>42-082</v>
      </c>
      <c r="R15" s="37">
        <v>84</v>
      </c>
      <c r="S15" s="37">
        <v>23.26</v>
      </c>
      <c r="T15" s="37">
        <v>9.75</v>
      </c>
      <c r="U15" s="37">
        <v>351.53</v>
      </c>
      <c r="V15" s="37">
        <v>18.54</v>
      </c>
      <c r="W15" s="37">
        <v>34.31</v>
      </c>
      <c r="X15" s="37">
        <f t="shared" si="2"/>
        <v>19.450339127040621</v>
      </c>
      <c r="Y15" s="37">
        <f t="shared" si="3"/>
        <v>29.573150644042894</v>
      </c>
      <c r="Z15" s="37">
        <v>35.979999999999997</v>
      </c>
      <c r="AA15" s="37">
        <v>51.84</v>
      </c>
      <c r="AB15" s="37">
        <f t="shared" si="14"/>
        <v>435.53</v>
      </c>
      <c r="AC15" s="37">
        <f t="shared" si="15"/>
        <v>0.45941247562421839</v>
      </c>
      <c r="AD15" s="37">
        <f t="shared" si="16"/>
        <v>0.54058752437578161</v>
      </c>
      <c r="AE15" s="37">
        <f t="shared" si="17"/>
        <v>0.42953027307016023</v>
      </c>
      <c r="AF15" s="37">
        <f t="shared" si="4"/>
        <v>0.57046972692983977</v>
      </c>
      <c r="AG15" s="37">
        <v>1</v>
      </c>
      <c r="AH15" s="37">
        <f t="shared" si="18"/>
        <v>85.943816986454905</v>
      </c>
      <c r="AI15" s="37">
        <f t="shared" si="19"/>
        <v>101.12950284379197</v>
      </c>
      <c r="AJ15" s="37">
        <f t="shared" si="20"/>
        <v>114.14409852216092</v>
      </c>
      <c r="AK15" s="37">
        <f t="shared" si="21"/>
        <v>134.31258164759217</v>
      </c>
      <c r="AL15" s="2"/>
      <c r="AM15">
        <v>0</v>
      </c>
      <c r="AN15">
        <v>280</v>
      </c>
      <c r="AO15" s="60" t="s">
        <v>108</v>
      </c>
      <c r="AP15" s="60" t="s">
        <v>108</v>
      </c>
    </row>
    <row r="16" spans="1:43" x14ac:dyDescent="0.2">
      <c r="B16" s="51" t="s">
        <v>28</v>
      </c>
      <c r="C16" s="51" t="s">
        <v>84</v>
      </c>
      <c r="D16" s="51">
        <v>5</v>
      </c>
      <c r="E16" s="51" t="s">
        <v>45</v>
      </c>
      <c r="F16" s="37" t="str">
        <f t="shared" si="5"/>
        <v>6219K84</v>
      </c>
      <c r="G16" s="37" t="str">
        <f t="shared" si="6"/>
        <v>6219K72</v>
      </c>
      <c r="H16" s="37" t="str">
        <f t="shared" si="7"/>
        <v>6219K72</v>
      </c>
      <c r="I16" s="37" t="str">
        <f t="shared" si="8"/>
        <v>6219K72</v>
      </c>
      <c r="J16" s="56" t="str">
        <f t="shared" si="9"/>
        <v>Tan</v>
      </c>
      <c r="K16" s="56" t="str">
        <f t="shared" si="1"/>
        <v xml:space="preserve">Red </v>
      </c>
      <c r="L16" s="56" t="str">
        <f t="shared" si="1"/>
        <v xml:space="preserve">Red </v>
      </c>
      <c r="M16" s="56" t="str">
        <f t="shared" si="1"/>
        <v xml:space="preserve">Red </v>
      </c>
      <c r="N16" s="56" t="str">
        <f t="shared" si="10"/>
        <v>42-081</v>
      </c>
      <c r="O16" s="56" t="str">
        <f t="shared" si="11"/>
        <v>42-082</v>
      </c>
      <c r="P16" s="56" t="str">
        <f t="shared" si="12"/>
        <v>42-082</v>
      </c>
      <c r="Q16" s="56" t="str">
        <f t="shared" si="13"/>
        <v>42-082</v>
      </c>
      <c r="R16" s="37">
        <v>84</v>
      </c>
      <c r="S16" s="37">
        <v>23.26</v>
      </c>
      <c r="T16" s="37">
        <v>9.75</v>
      </c>
      <c r="U16" s="37">
        <v>361.45</v>
      </c>
      <c r="V16" s="37">
        <v>18.46</v>
      </c>
      <c r="W16" s="37">
        <v>31.79</v>
      </c>
      <c r="X16" s="37">
        <f t="shared" si="2"/>
        <v>19.365152093388708</v>
      </c>
      <c r="Y16" s="37">
        <f t="shared" si="3"/>
        <v>27.633843304523513</v>
      </c>
      <c r="Z16" s="37">
        <v>35.979999999999997</v>
      </c>
      <c r="AA16" s="37">
        <v>51.84</v>
      </c>
      <c r="AB16" s="37">
        <f t="shared" si="14"/>
        <v>445.45</v>
      </c>
      <c r="AC16" s="37">
        <f t="shared" si="15"/>
        <v>0.46178009746001358</v>
      </c>
      <c r="AD16" s="37">
        <f t="shared" si="16"/>
        <v>0.53821990253998642</v>
      </c>
      <c r="AE16" s="37">
        <f t="shared" si="17"/>
        <v>0.46693975107014829</v>
      </c>
      <c r="AF16" s="37">
        <f t="shared" si="4"/>
        <v>0.53306024892985171</v>
      </c>
      <c r="AG16" s="37">
        <v>1</v>
      </c>
      <c r="AH16" s="37">
        <f t="shared" si="18"/>
        <v>96.049480839612457</v>
      </c>
      <c r="AI16" s="37">
        <f t="shared" si="19"/>
        <v>111.94883127458509</v>
      </c>
      <c r="AJ16" s="37">
        <f t="shared" si="20"/>
        <v>109.65046357395057</v>
      </c>
      <c r="AK16" s="37">
        <f t="shared" si="21"/>
        <v>127.80122431185187</v>
      </c>
      <c r="AL16" s="2"/>
      <c r="AM16">
        <v>280</v>
      </c>
      <c r="AN16">
        <v>450</v>
      </c>
      <c r="AO16" s="60" t="s">
        <v>78</v>
      </c>
      <c r="AP16" s="60" t="s">
        <v>78</v>
      </c>
    </row>
    <row r="17" spans="2:42" x14ac:dyDescent="0.2">
      <c r="B17" s="51" t="s">
        <v>28</v>
      </c>
      <c r="C17" s="51" t="s">
        <v>74</v>
      </c>
      <c r="D17" s="51">
        <v>7.5</v>
      </c>
      <c r="E17" s="51" t="s">
        <v>45</v>
      </c>
      <c r="F17" s="37" t="str">
        <f t="shared" si="5"/>
        <v>6219K84</v>
      </c>
      <c r="G17" s="37" t="str">
        <f t="shared" si="6"/>
        <v>6219K72</v>
      </c>
      <c r="H17" s="37" t="str">
        <f t="shared" si="7"/>
        <v>6219K72</v>
      </c>
      <c r="I17" s="37" t="str">
        <f t="shared" si="8"/>
        <v>6219K72</v>
      </c>
      <c r="J17" s="56" t="str">
        <f t="shared" si="9"/>
        <v>Tan</v>
      </c>
      <c r="K17" s="56" t="str">
        <f t="shared" si="1"/>
        <v xml:space="preserve">Red </v>
      </c>
      <c r="L17" s="56" t="str">
        <f t="shared" si="1"/>
        <v xml:space="preserve">Red </v>
      </c>
      <c r="M17" s="56" t="str">
        <f t="shared" si="1"/>
        <v xml:space="preserve">Red </v>
      </c>
      <c r="N17" s="56" t="str">
        <f t="shared" si="10"/>
        <v>42-081</v>
      </c>
      <c r="O17" s="56" t="str">
        <f t="shared" si="11"/>
        <v>42-082</v>
      </c>
      <c r="P17" s="56" t="str">
        <f t="shared" si="12"/>
        <v>42-082</v>
      </c>
      <c r="Q17" s="56" t="str">
        <f t="shared" si="13"/>
        <v>42-082</v>
      </c>
      <c r="R17" s="37">
        <v>115</v>
      </c>
      <c r="S17" s="37">
        <v>23.26</v>
      </c>
      <c r="T17" s="37">
        <v>9.75</v>
      </c>
      <c r="U17" s="37">
        <v>371.5</v>
      </c>
      <c r="V17" s="37">
        <v>18.41</v>
      </c>
      <c r="W17" s="37">
        <v>34.51</v>
      </c>
      <c r="X17" s="37">
        <f t="shared" si="2"/>
        <v>19.556454265159303</v>
      </c>
      <c r="Y17" s="37">
        <f t="shared" si="3"/>
        <v>28.657173689619732</v>
      </c>
      <c r="Z17" s="37">
        <v>35.979999999999997</v>
      </c>
      <c r="AA17" s="37">
        <v>51.84</v>
      </c>
      <c r="AB17" s="37">
        <f t="shared" si="14"/>
        <v>486.5</v>
      </c>
      <c r="AC17" s="37">
        <f t="shared" si="15"/>
        <v>0.45646319440913552</v>
      </c>
      <c r="AD17" s="37">
        <f t="shared" si="16"/>
        <v>0.54353680559086448</v>
      </c>
      <c r="AE17" s="37">
        <f t="shared" si="17"/>
        <v>0.44719958160455764</v>
      </c>
      <c r="AF17" s="37">
        <f t="shared" si="4"/>
        <v>0.55280041839544236</v>
      </c>
      <c r="AG17" s="37">
        <v>1</v>
      </c>
      <c r="AH17" s="37">
        <f t="shared" si="18"/>
        <v>99.309317759794425</v>
      </c>
      <c r="AI17" s="37">
        <f t="shared" si="19"/>
        <v>118.25327869082288</v>
      </c>
      <c r="AJ17" s="37">
        <f t="shared" si="20"/>
        <v>122.76002632025001</v>
      </c>
      <c r="AK17" s="37">
        <f t="shared" si="21"/>
        <v>146.1773772291327</v>
      </c>
      <c r="AL17" s="2"/>
      <c r="AM17">
        <v>450</v>
      </c>
      <c r="AN17">
        <v>750</v>
      </c>
      <c r="AO17" s="60" t="s">
        <v>76</v>
      </c>
      <c r="AP17" s="60" t="s">
        <v>76</v>
      </c>
    </row>
    <row r="18" spans="2:42" x14ac:dyDescent="0.2">
      <c r="B18" s="51" t="s">
        <v>28</v>
      </c>
      <c r="C18" s="51" t="s">
        <v>83</v>
      </c>
      <c r="D18" s="51">
        <v>7.5</v>
      </c>
      <c r="E18" s="51" t="s">
        <v>45</v>
      </c>
      <c r="F18" s="37" t="str">
        <f t="shared" si="5"/>
        <v>6219K84</v>
      </c>
      <c r="G18" s="37" t="str">
        <f t="shared" si="6"/>
        <v>6219K72</v>
      </c>
      <c r="H18" s="37" t="str">
        <f t="shared" si="7"/>
        <v>6219K72</v>
      </c>
      <c r="I18" s="37" t="str">
        <f t="shared" si="8"/>
        <v>6219K72</v>
      </c>
      <c r="J18" s="56" t="str">
        <f t="shared" si="9"/>
        <v>Tan</v>
      </c>
      <c r="K18" s="56" t="str">
        <f t="shared" si="1"/>
        <v xml:space="preserve">Red </v>
      </c>
      <c r="L18" s="56" t="str">
        <f t="shared" si="1"/>
        <v xml:space="preserve">Red </v>
      </c>
      <c r="M18" s="56" t="str">
        <f t="shared" si="1"/>
        <v xml:space="preserve">Red </v>
      </c>
      <c r="N18" s="56" t="str">
        <f t="shared" si="10"/>
        <v>42-081</v>
      </c>
      <c r="O18" s="56" t="str">
        <f t="shared" si="11"/>
        <v>42-082</v>
      </c>
      <c r="P18" s="56" t="str">
        <f t="shared" si="12"/>
        <v>42-082</v>
      </c>
      <c r="Q18" s="56" t="str">
        <f t="shared" si="13"/>
        <v>42-082</v>
      </c>
      <c r="R18" s="37">
        <v>115</v>
      </c>
      <c r="S18" s="37">
        <v>23.26</v>
      </c>
      <c r="T18" s="37">
        <v>9.75</v>
      </c>
      <c r="U18" s="37">
        <v>351.53</v>
      </c>
      <c r="V18" s="37">
        <v>18.54</v>
      </c>
      <c r="W18" s="37">
        <v>34.31</v>
      </c>
      <c r="X18" s="37">
        <f t="shared" si="2"/>
        <v>19.703483591623261</v>
      </c>
      <c r="Y18" s="37">
        <f t="shared" si="3"/>
        <v>28.255941311384049</v>
      </c>
      <c r="Z18" s="37">
        <v>35.979999999999997</v>
      </c>
      <c r="AA18" s="37">
        <v>51.84</v>
      </c>
      <c r="AB18" s="37">
        <f t="shared" si="14"/>
        <v>466.53</v>
      </c>
      <c r="AC18" s="37">
        <f t="shared" si="15"/>
        <v>0.4523767762194757</v>
      </c>
      <c r="AD18" s="37">
        <f t="shared" si="16"/>
        <v>0.5476232237805243</v>
      </c>
      <c r="AE18" s="37">
        <f t="shared" si="17"/>
        <v>0.4549394037155855</v>
      </c>
      <c r="AF18" s="37">
        <f t="shared" si="4"/>
        <v>0.5450605962844145</v>
      </c>
      <c r="AG18" s="37">
        <v>1</v>
      </c>
      <c r="AH18" s="37">
        <f t="shared" si="18"/>
        <v>96.013749836918166</v>
      </c>
      <c r="AI18" s="37">
        <f t="shared" si="19"/>
        <v>116.22913017851393</v>
      </c>
      <c r="AJ18" s="37">
        <f t="shared" si="20"/>
        <v>115.03358757275383</v>
      </c>
      <c r="AK18" s="37">
        <f t="shared" si="21"/>
        <v>139.25353241181404</v>
      </c>
      <c r="AL18" s="2"/>
      <c r="AM18">
        <v>750</v>
      </c>
      <c r="AN18">
        <v>1000</v>
      </c>
      <c r="AO18" s="60" t="s">
        <v>77</v>
      </c>
      <c r="AP18" s="60" t="s">
        <v>77</v>
      </c>
    </row>
    <row r="19" spans="2:42" x14ac:dyDescent="0.2">
      <c r="B19" s="51" t="s">
        <v>28</v>
      </c>
      <c r="C19" s="51" t="s">
        <v>84</v>
      </c>
      <c r="D19" s="51">
        <v>7.5</v>
      </c>
      <c r="E19" s="51" t="s">
        <v>45</v>
      </c>
      <c r="F19" s="37" t="str">
        <f t="shared" si="5"/>
        <v>6219K72</v>
      </c>
      <c r="G19" s="37" t="str">
        <f t="shared" si="6"/>
        <v>6219K72</v>
      </c>
      <c r="H19" s="37" t="str">
        <f t="shared" si="7"/>
        <v>6219K72</v>
      </c>
      <c r="I19" s="37" t="str">
        <f t="shared" si="8"/>
        <v>6219K72</v>
      </c>
      <c r="J19" s="56" t="str">
        <f t="shared" si="9"/>
        <v xml:space="preserve">Red </v>
      </c>
      <c r="K19" s="56" t="str">
        <f t="shared" si="1"/>
        <v xml:space="preserve">Red </v>
      </c>
      <c r="L19" s="56" t="str">
        <f t="shared" si="1"/>
        <v xml:space="preserve">Red </v>
      </c>
      <c r="M19" s="56" t="str">
        <f t="shared" si="1"/>
        <v xml:space="preserve">Red </v>
      </c>
      <c r="N19" s="56" t="str">
        <f t="shared" si="10"/>
        <v>42-082</v>
      </c>
      <c r="O19" s="56" t="str">
        <f t="shared" si="11"/>
        <v>42-082</v>
      </c>
      <c r="P19" s="56" t="str">
        <f t="shared" si="12"/>
        <v>42-082</v>
      </c>
      <c r="Q19" s="56" t="str">
        <f t="shared" si="13"/>
        <v>42-082</v>
      </c>
      <c r="R19" s="37">
        <v>115</v>
      </c>
      <c r="S19" s="37">
        <v>23.26</v>
      </c>
      <c r="T19" s="37">
        <v>9.75</v>
      </c>
      <c r="U19" s="37">
        <v>361.45</v>
      </c>
      <c r="V19" s="37">
        <v>18.46</v>
      </c>
      <c r="W19" s="37">
        <v>31.79</v>
      </c>
      <c r="X19" s="37">
        <f t="shared" si="2"/>
        <v>19.618568580123831</v>
      </c>
      <c r="Y19" s="37">
        <f t="shared" si="3"/>
        <v>26.470239269598068</v>
      </c>
      <c r="Z19" s="37">
        <v>35.979999999999997</v>
      </c>
      <c r="AA19" s="37">
        <v>51.84</v>
      </c>
      <c r="AB19" s="37">
        <f t="shared" si="14"/>
        <v>476.45</v>
      </c>
      <c r="AC19" s="37">
        <f t="shared" si="15"/>
        <v>0.45473683768416251</v>
      </c>
      <c r="AD19" s="37">
        <f t="shared" si="16"/>
        <v>0.54526316231583749</v>
      </c>
      <c r="AE19" s="37">
        <f t="shared" si="17"/>
        <v>0.4893858165586793</v>
      </c>
      <c r="AF19" s="37">
        <f t="shared" si="4"/>
        <v>0.5106141834413207</v>
      </c>
      <c r="AG19" s="37">
        <v>1</v>
      </c>
      <c r="AH19" s="37">
        <f t="shared" si="18"/>
        <v>106.03002089896594</v>
      </c>
      <c r="AI19" s="37">
        <f t="shared" si="19"/>
        <v>127.13785140041681</v>
      </c>
      <c r="AJ19" s="37">
        <f t="shared" si="20"/>
        <v>110.62934541565329</v>
      </c>
      <c r="AK19" s="37">
        <f t="shared" si="21"/>
        <v>132.65278228496396</v>
      </c>
      <c r="AL19" s="2"/>
      <c r="AM19">
        <v>1000</v>
      </c>
      <c r="AN19" s="60" t="s">
        <v>79</v>
      </c>
      <c r="AO19" s="60" t="s">
        <v>79</v>
      </c>
      <c r="AP19" s="60" t="s">
        <v>79</v>
      </c>
    </row>
    <row r="20" spans="2:42" x14ac:dyDescent="0.2">
      <c r="B20" s="51" t="s">
        <v>28</v>
      </c>
      <c r="C20" s="51" t="s">
        <v>74</v>
      </c>
      <c r="D20" s="51">
        <v>10</v>
      </c>
      <c r="E20" s="51" t="s">
        <v>45</v>
      </c>
      <c r="F20" s="37" t="str">
        <f t="shared" si="5"/>
        <v>6219K72</v>
      </c>
      <c r="G20" s="37" t="str">
        <f t="shared" si="6"/>
        <v>6219K72</v>
      </c>
      <c r="H20" s="37" t="str">
        <f t="shared" si="7"/>
        <v>6219K72</v>
      </c>
      <c r="I20" s="37" t="str">
        <f t="shared" si="8"/>
        <v>6219K72</v>
      </c>
      <c r="J20" s="56" t="str">
        <f t="shared" si="9"/>
        <v xml:space="preserve">Red </v>
      </c>
      <c r="K20" s="56" t="str">
        <f t="shared" si="1"/>
        <v xml:space="preserve">Red </v>
      </c>
      <c r="L20" s="56" t="str">
        <f t="shared" si="1"/>
        <v xml:space="preserve">Red </v>
      </c>
      <c r="M20" s="56" t="str">
        <f t="shared" si="1"/>
        <v xml:space="preserve">Red </v>
      </c>
      <c r="N20" s="56" t="str">
        <f t="shared" si="10"/>
        <v>42-082</v>
      </c>
      <c r="O20" s="56" t="str">
        <f t="shared" si="11"/>
        <v>42-082</v>
      </c>
      <c r="P20" s="56" t="str">
        <f t="shared" si="12"/>
        <v>42-082</v>
      </c>
      <c r="Q20" s="56" t="str">
        <f t="shared" si="13"/>
        <v>42-082</v>
      </c>
      <c r="R20" s="37">
        <v>128</v>
      </c>
      <c r="S20" s="37">
        <v>23.26</v>
      </c>
      <c r="T20" s="37">
        <v>9.75</v>
      </c>
      <c r="U20" s="37">
        <v>371.5</v>
      </c>
      <c r="V20" s="37">
        <v>18.41</v>
      </c>
      <c r="W20" s="37">
        <v>34.51</v>
      </c>
      <c r="X20" s="37">
        <f t="shared" si="2"/>
        <v>19.652842842842841</v>
      </c>
      <c r="Y20" s="37">
        <f t="shared" si="3"/>
        <v>28.165095095095097</v>
      </c>
      <c r="Z20" s="37">
        <v>35.979999999999997</v>
      </c>
      <c r="AA20" s="37">
        <v>51.84</v>
      </c>
      <c r="AB20" s="37">
        <f t="shared" si="14"/>
        <v>499.5</v>
      </c>
      <c r="AC20" s="37">
        <f t="shared" si="15"/>
        <v>0.45378424561303943</v>
      </c>
      <c r="AD20" s="37">
        <f t="shared" si="16"/>
        <v>0.54621575438696057</v>
      </c>
      <c r="AE20" s="37">
        <f t="shared" si="17"/>
        <v>0.45669183844338168</v>
      </c>
      <c r="AF20" s="37">
        <f t="shared" si="4"/>
        <v>0.54330816155661832</v>
      </c>
      <c r="AG20" s="37">
        <v>1</v>
      </c>
      <c r="AH20" s="37">
        <f t="shared" si="18"/>
        <v>103.51616091213819</v>
      </c>
      <c r="AI20" s="37">
        <f t="shared" si="19"/>
        <v>124.60141239033095</v>
      </c>
      <c r="AJ20" s="37">
        <f t="shared" si="20"/>
        <v>123.149069771575</v>
      </c>
      <c r="AK20" s="37">
        <f t="shared" si="21"/>
        <v>148.23335692595583</v>
      </c>
      <c r="AL20" s="2"/>
    </row>
    <row r="21" spans="2:42" x14ac:dyDescent="0.2">
      <c r="B21" s="51" t="s">
        <v>28</v>
      </c>
      <c r="C21" s="51" t="s">
        <v>83</v>
      </c>
      <c r="D21" s="51">
        <v>10</v>
      </c>
      <c r="E21" s="51" t="s">
        <v>45</v>
      </c>
      <c r="F21" s="37" t="str">
        <f t="shared" si="5"/>
        <v>6219K72</v>
      </c>
      <c r="G21" s="37" t="str">
        <f t="shared" si="6"/>
        <v>6219K72</v>
      </c>
      <c r="H21" s="37" t="str">
        <f t="shared" si="7"/>
        <v>6219K72</v>
      </c>
      <c r="I21" s="37" t="str">
        <f t="shared" si="8"/>
        <v>6219K72</v>
      </c>
      <c r="J21" s="56" t="str">
        <f t="shared" si="9"/>
        <v xml:space="preserve">Red </v>
      </c>
      <c r="K21" s="56" t="str">
        <f t="shared" ref="K21:K67" si="22">VLOOKUP(AI21,$AM$5:$AQ$12,3,TRUE)</f>
        <v xml:space="preserve">Red </v>
      </c>
      <c r="L21" s="56" t="str">
        <f t="shared" ref="L21:L67" si="23">VLOOKUP(AJ21,$AM$5:$AQ$12,3,TRUE)</f>
        <v xml:space="preserve">Red </v>
      </c>
      <c r="M21" s="56" t="str">
        <f t="shared" ref="M21:M67" si="24">VLOOKUP(AK21,$AM$5:$AQ$12,3,TRUE)</f>
        <v xml:space="preserve">Red </v>
      </c>
      <c r="N21" s="56" t="str">
        <f t="shared" si="10"/>
        <v>42-082</v>
      </c>
      <c r="O21" s="56" t="str">
        <f t="shared" si="11"/>
        <v>42-082</v>
      </c>
      <c r="P21" s="56" t="str">
        <f t="shared" si="12"/>
        <v>42-082</v>
      </c>
      <c r="Q21" s="56" t="str">
        <f t="shared" si="13"/>
        <v>42-082</v>
      </c>
      <c r="R21" s="37">
        <v>128</v>
      </c>
      <c r="S21" s="37">
        <v>23.26</v>
      </c>
      <c r="T21" s="37">
        <v>9.75</v>
      </c>
      <c r="U21" s="37">
        <v>351.53</v>
      </c>
      <c r="V21" s="37">
        <v>18.54</v>
      </c>
      <c r="W21" s="37">
        <v>34.31</v>
      </c>
      <c r="X21" s="37">
        <f t="shared" si="2"/>
        <v>19.799900319062417</v>
      </c>
      <c r="Y21" s="37">
        <f t="shared" si="3"/>
        <v>27.754247492336248</v>
      </c>
      <c r="Z21" s="37">
        <v>35.979999999999997</v>
      </c>
      <c r="AA21" s="37">
        <v>51.84</v>
      </c>
      <c r="AB21" s="37">
        <f t="shared" si="14"/>
        <v>479.53</v>
      </c>
      <c r="AC21" s="37">
        <f t="shared" si="15"/>
        <v>0.44969704505107233</v>
      </c>
      <c r="AD21" s="37">
        <f t="shared" si="16"/>
        <v>0.55030295494892767</v>
      </c>
      <c r="AE21" s="37">
        <f t="shared" si="17"/>
        <v>0.46461713942252614</v>
      </c>
      <c r="AF21" s="37">
        <f t="shared" si="4"/>
        <v>0.53538286057747386</v>
      </c>
      <c r="AG21" s="37">
        <v>1</v>
      </c>
      <c r="AH21" s="37">
        <f t="shared" si="18"/>
        <v>100.19153787692935</v>
      </c>
      <c r="AI21" s="37">
        <f t="shared" si="19"/>
        <v>122.60631899035458</v>
      </c>
      <c r="AJ21" s="37">
        <f t="shared" si="20"/>
        <v>115.45168613641135</v>
      </c>
      <c r="AK21" s="37">
        <f t="shared" si="21"/>
        <v>141.28045699630465</v>
      </c>
      <c r="AL21" s="2"/>
    </row>
    <row r="22" spans="2:42" x14ac:dyDescent="0.2">
      <c r="B22" s="51" t="s">
        <v>28</v>
      </c>
      <c r="C22" s="51" t="s">
        <v>84</v>
      </c>
      <c r="D22" s="51">
        <v>10</v>
      </c>
      <c r="E22" s="51" t="s">
        <v>45</v>
      </c>
      <c r="F22" s="37" t="str">
        <f t="shared" si="5"/>
        <v>6219K72</v>
      </c>
      <c r="G22" s="37" t="str">
        <f t="shared" si="6"/>
        <v>6219K72</v>
      </c>
      <c r="H22" s="37" t="str">
        <f t="shared" si="7"/>
        <v>6219K72</v>
      </c>
      <c r="I22" s="37" t="str">
        <f t="shared" si="8"/>
        <v>6219K72</v>
      </c>
      <c r="J22" s="56" t="str">
        <f t="shared" si="9"/>
        <v xml:space="preserve">Red </v>
      </c>
      <c r="K22" s="56" t="str">
        <f t="shared" si="22"/>
        <v xml:space="preserve">Red </v>
      </c>
      <c r="L22" s="56" t="str">
        <f t="shared" si="23"/>
        <v xml:space="preserve">Red </v>
      </c>
      <c r="M22" s="56" t="str">
        <f t="shared" si="24"/>
        <v xml:space="preserve">Red </v>
      </c>
      <c r="N22" s="56" t="str">
        <f t="shared" si="10"/>
        <v>42-082</v>
      </c>
      <c r="O22" s="56" t="str">
        <f t="shared" si="11"/>
        <v>42-082</v>
      </c>
      <c r="P22" s="56" t="str">
        <f t="shared" si="12"/>
        <v>42-082</v>
      </c>
      <c r="Q22" s="56" t="str">
        <f t="shared" si="13"/>
        <v>42-082</v>
      </c>
      <c r="R22" s="37">
        <v>128</v>
      </c>
      <c r="S22" s="37">
        <v>23.26</v>
      </c>
      <c r="T22" s="37">
        <v>9.75</v>
      </c>
      <c r="U22" s="37">
        <v>361.45</v>
      </c>
      <c r="V22" s="37">
        <v>18.46</v>
      </c>
      <c r="W22" s="37">
        <v>31.79</v>
      </c>
      <c r="X22" s="37">
        <f t="shared" si="2"/>
        <v>19.715286546123203</v>
      </c>
      <c r="Y22" s="37">
        <f t="shared" si="3"/>
        <v>26.026142609050975</v>
      </c>
      <c r="Z22" s="37">
        <v>35.979999999999997</v>
      </c>
      <c r="AA22" s="37">
        <v>51.84</v>
      </c>
      <c r="AB22" s="37">
        <f t="shared" si="14"/>
        <v>489.45</v>
      </c>
      <c r="AC22" s="37">
        <f t="shared" si="15"/>
        <v>0.45204873412664803</v>
      </c>
      <c r="AD22" s="37">
        <f t="shared" si="16"/>
        <v>0.54795126587335197</v>
      </c>
      <c r="AE22" s="37">
        <f t="shared" si="17"/>
        <v>0.49795249596738089</v>
      </c>
      <c r="AF22" s="37">
        <f t="shared" si="4"/>
        <v>0.50204750403261911</v>
      </c>
      <c r="AG22" s="37">
        <v>1</v>
      </c>
      <c r="AH22" s="37">
        <f t="shared" si="18"/>
        <v>110.17460543655558</v>
      </c>
      <c r="AI22" s="37">
        <f t="shared" si="19"/>
        <v>133.54824371467899</v>
      </c>
      <c r="AJ22" s="37">
        <f t="shared" si="20"/>
        <v>111.0806474817323</v>
      </c>
      <c r="AK22" s="37">
        <f t="shared" si="21"/>
        <v>134.64650336703315</v>
      </c>
      <c r="AL22" s="2"/>
    </row>
    <row r="23" spans="2:42" x14ac:dyDescent="0.2">
      <c r="B23" s="51" t="s">
        <v>28</v>
      </c>
      <c r="C23" s="51" t="s">
        <v>74</v>
      </c>
      <c r="D23" s="51">
        <v>15</v>
      </c>
      <c r="E23" s="51" t="s">
        <v>45</v>
      </c>
      <c r="F23" s="37" t="str">
        <f t="shared" si="5"/>
        <v>6219K72</v>
      </c>
      <c r="G23" s="37" t="str">
        <f t="shared" si="6"/>
        <v>6219K73</v>
      </c>
      <c r="H23" s="37" t="str">
        <f t="shared" si="7"/>
        <v>6219K72</v>
      </c>
      <c r="I23" s="37" t="str">
        <f t="shared" si="8"/>
        <v>6219K73</v>
      </c>
      <c r="J23" s="56" t="str">
        <f t="shared" si="9"/>
        <v xml:space="preserve">Red </v>
      </c>
      <c r="K23" s="56" t="str">
        <f t="shared" si="22"/>
        <v>Black</v>
      </c>
      <c r="L23" s="56" t="str">
        <f t="shared" si="23"/>
        <v xml:space="preserve">Red </v>
      </c>
      <c r="M23" s="56" t="str">
        <f t="shared" si="24"/>
        <v>Black</v>
      </c>
      <c r="N23" s="56" t="str">
        <f t="shared" si="10"/>
        <v>42-082</v>
      </c>
      <c r="O23" s="56" t="str">
        <f t="shared" si="11"/>
        <v>42-083</v>
      </c>
      <c r="P23" s="56" t="str">
        <f t="shared" si="12"/>
        <v>42-082</v>
      </c>
      <c r="Q23" s="56" t="str">
        <f t="shared" si="13"/>
        <v>42-083</v>
      </c>
      <c r="R23" s="37">
        <v>211</v>
      </c>
      <c r="S23" s="37">
        <v>23.26</v>
      </c>
      <c r="T23" s="37">
        <v>9.75</v>
      </c>
      <c r="U23" s="37">
        <v>371.5</v>
      </c>
      <c r="V23" s="37">
        <v>18.41</v>
      </c>
      <c r="W23" s="37">
        <v>34.51</v>
      </c>
      <c r="X23" s="37">
        <f t="shared" si="2"/>
        <v>20.166824034334763</v>
      </c>
      <c r="Y23" s="37">
        <f t="shared" si="3"/>
        <v>25.541141630901286</v>
      </c>
      <c r="Z23" s="37">
        <v>35.979999999999997</v>
      </c>
      <c r="AA23" s="37">
        <v>51.84</v>
      </c>
      <c r="AB23" s="37">
        <f t="shared" si="14"/>
        <v>582.5</v>
      </c>
      <c r="AC23" s="37">
        <f t="shared" si="15"/>
        <v>0.43949905407629897</v>
      </c>
      <c r="AD23" s="37">
        <f t="shared" si="16"/>
        <v>0.56050094592370103</v>
      </c>
      <c r="AE23" s="37">
        <f t="shared" si="17"/>
        <v>0.50730822471255244</v>
      </c>
      <c r="AF23" s="37">
        <f t="shared" si="4"/>
        <v>0.49269177528744762</v>
      </c>
      <c r="AG23" s="37">
        <v>1</v>
      </c>
      <c r="AH23" s="37">
        <f t="shared" si="18"/>
        <v>129.87506494626587</v>
      </c>
      <c r="AI23" s="37">
        <f t="shared" si="19"/>
        <v>165.63197594879594</v>
      </c>
      <c r="AJ23" s="37">
        <f t="shared" si="20"/>
        <v>126.13313405317832</v>
      </c>
      <c r="AK23" s="37">
        <f t="shared" si="21"/>
        <v>160.85982505175991</v>
      </c>
      <c r="AL23" s="2"/>
    </row>
    <row r="24" spans="2:42" x14ac:dyDescent="0.2">
      <c r="B24" s="51" t="s">
        <v>28</v>
      </c>
      <c r="C24" s="51" t="s">
        <v>83</v>
      </c>
      <c r="D24" s="51">
        <v>15</v>
      </c>
      <c r="E24" s="51" t="s">
        <v>45</v>
      </c>
      <c r="F24" s="37" t="str">
        <f t="shared" si="5"/>
        <v>6219K72</v>
      </c>
      <c r="G24" s="37" t="str">
        <f t="shared" si="6"/>
        <v>6219K73</v>
      </c>
      <c r="H24" s="37" t="str">
        <f t="shared" si="7"/>
        <v>6219K72</v>
      </c>
      <c r="I24" s="37" t="str">
        <f t="shared" si="8"/>
        <v>6219K73</v>
      </c>
      <c r="J24" s="56" t="str">
        <f t="shared" si="9"/>
        <v xml:space="preserve">Red </v>
      </c>
      <c r="K24" s="56" t="str">
        <f t="shared" si="22"/>
        <v>Black</v>
      </c>
      <c r="L24" s="56" t="str">
        <f t="shared" si="23"/>
        <v xml:space="preserve">Red </v>
      </c>
      <c r="M24" s="56" t="str">
        <f t="shared" si="24"/>
        <v>Black</v>
      </c>
      <c r="N24" s="56" t="str">
        <f t="shared" si="10"/>
        <v>42-082</v>
      </c>
      <c r="O24" s="56" t="str">
        <f t="shared" si="11"/>
        <v>42-083</v>
      </c>
      <c r="P24" s="56" t="str">
        <f t="shared" si="12"/>
        <v>42-082</v>
      </c>
      <c r="Q24" s="56" t="str">
        <f t="shared" si="13"/>
        <v>42-083</v>
      </c>
      <c r="R24" s="37">
        <v>211</v>
      </c>
      <c r="S24" s="37">
        <v>23.26</v>
      </c>
      <c r="T24" s="37">
        <v>9.75</v>
      </c>
      <c r="U24" s="37">
        <v>351.53</v>
      </c>
      <c r="V24" s="37">
        <v>18.54</v>
      </c>
      <c r="W24" s="37">
        <v>34.31</v>
      </c>
      <c r="X24" s="37">
        <f t="shared" si="2"/>
        <v>20.310430021509966</v>
      </c>
      <c r="Y24" s="37">
        <f t="shared" si="3"/>
        <v>25.097762430448157</v>
      </c>
      <c r="Z24" s="37">
        <v>35.979999999999997</v>
      </c>
      <c r="AA24" s="37">
        <v>51.84</v>
      </c>
      <c r="AB24" s="37">
        <f t="shared" si="14"/>
        <v>562.53</v>
      </c>
      <c r="AC24" s="37">
        <f t="shared" si="15"/>
        <v>0.43550778150333613</v>
      </c>
      <c r="AD24" s="37">
        <f t="shared" si="16"/>
        <v>0.56449221849666387</v>
      </c>
      <c r="AE24" s="37">
        <f t="shared" si="17"/>
        <v>0.51586106422746614</v>
      </c>
      <c r="AF24" s="37">
        <f t="shared" si="4"/>
        <v>0.48413893577253386</v>
      </c>
      <c r="AG24" s="37">
        <v>1</v>
      </c>
      <c r="AH24" s="37">
        <f t="shared" si="18"/>
        <v>126.37883789590961</v>
      </c>
      <c r="AI24" s="37">
        <f t="shared" si="19"/>
        <v>163.80848656396688</v>
      </c>
      <c r="AJ24" s="37">
        <f t="shared" si="20"/>
        <v>118.60735443316204</v>
      </c>
      <c r="AK24" s="37">
        <f t="shared" si="21"/>
        <v>153.73532110696141</v>
      </c>
      <c r="AL24" s="2"/>
    </row>
    <row r="25" spans="2:42" x14ac:dyDescent="0.2">
      <c r="B25" s="51" t="s">
        <v>28</v>
      </c>
      <c r="C25" s="51" t="s">
        <v>84</v>
      </c>
      <c r="D25" s="51">
        <v>15</v>
      </c>
      <c r="E25" s="51" t="s">
        <v>45</v>
      </c>
      <c r="F25" s="37" t="str">
        <f t="shared" si="5"/>
        <v>6219K72</v>
      </c>
      <c r="G25" s="37" t="str">
        <f t="shared" si="6"/>
        <v>6219K73</v>
      </c>
      <c r="H25" s="37" t="str">
        <f t="shared" si="7"/>
        <v>6219K72</v>
      </c>
      <c r="I25" s="37" t="str">
        <f t="shared" si="8"/>
        <v>6219K72</v>
      </c>
      <c r="J25" s="56" t="str">
        <f t="shared" si="9"/>
        <v xml:space="preserve">Red </v>
      </c>
      <c r="K25" s="56" t="str">
        <f t="shared" si="22"/>
        <v>Black</v>
      </c>
      <c r="L25" s="56" t="str">
        <f t="shared" si="23"/>
        <v xml:space="preserve">Red </v>
      </c>
      <c r="M25" s="56" t="str">
        <f t="shared" si="24"/>
        <v xml:space="preserve">Red </v>
      </c>
      <c r="N25" s="56" t="str">
        <f t="shared" si="10"/>
        <v>42-082</v>
      </c>
      <c r="O25" s="56" t="str">
        <f t="shared" si="11"/>
        <v>42-083</v>
      </c>
      <c r="P25" s="56" t="str">
        <f t="shared" si="12"/>
        <v>42-082</v>
      </c>
      <c r="Q25" s="56" t="str">
        <f t="shared" si="13"/>
        <v>42-082</v>
      </c>
      <c r="R25" s="37">
        <v>211</v>
      </c>
      <c r="S25" s="37">
        <v>23.26</v>
      </c>
      <c r="T25" s="37">
        <v>9.75</v>
      </c>
      <c r="U25" s="37">
        <v>361.45</v>
      </c>
      <c r="V25" s="37">
        <v>18.46</v>
      </c>
      <c r="W25" s="37">
        <v>31.79</v>
      </c>
      <c r="X25" s="37">
        <f t="shared" si="2"/>
        <v>20.229237487990218</v>
      </c>
      <c r="Y25" s="37">
        <f t="shared" si="3"/>
        <v>23.666251200978248</v>
      </c>
      <c r="Z25" s="37">
        <v>35.979999999999997</v>
      </c>
      <c r="AA25" s="37">
        <v>51.84</v>
      </c>
      <c r="AB25" s="37">
        <f t="shared" si="14"/>
        <v>572.45000000000005</v>
      </c>
      <c r="AC25" s="37">
        <f t="shared" si="15"/>
        <v>0.43776438332434076</v>
      </c>
      <c r="AD25" s="37">
        <f t="shared" si="16"/>
        <v>0.56223561667565924</v>
      </c>
      <c r="AE25" s="37">
        <f t="shared" si="17"/>
        <v>0.54347509257372217</v>
      </c>
      <c r="AF25" s="37">
        <f t="shared" si="4"/>
        <v>0.45652490742627788</v>
      </c>
      <c r="AG25" s="37">
        <v>1</v>
      </c>
      <c r="AH25" s="37">
        <f t="shared" si="18"/>
        <v>136.19389148396851</v>
      </c>
      <c r="AI25" s="37">
        <f t="shared" si="19"/>
        <v>174.91842525985876</v>
      </c>
      <c r="AJ25" s="37">
        <f t="shared" si="20"/>
        <v>114.40432975005038</v>
      </c>
      <c r="AK25" s="37">
        <f t="shared" si="21"/>
        <v>146.93335350612242</v>
      </c>
      <c r="AL25" s="2"/>
    </row>
    <row r="26" spans="2:42" x14ac:dyDescent="0.2">
      <c r="B26" s="51" t="s">
        <v>29</v>
      </c>
      <c r="C26" s="51" t="s">
        <v>74</v>
      </c>
      <c r="D26" s="51">
        <v>7.5</v>
      </c>
      <c r="E26" s="51" t="s">
        <v>45</v>
      </c>
      <c r="F26" s="37" t="str">
        <f t="shared" si="5"/>
        <v>6219K72</v>
      </c>
      <c r="G26" s="37" t="str">
        <f t="shared" si="6"/>
        <v>6219K73</v>
      </c>
      <c r="H26" s="37" t="str">
        <f t="shared" si="7"/>
        <v>6219K73</v>
      </c>
      <c r="I26" s="37" t="str">
        <f t="shared" si="8"/>
        <v>6219K73</v>
      </c>
      <c r="J26" s="56" t="str">
        <f t="shared" si="9"/>
        <v xml:space="preserve">Red </v>
      </c>
      <c r="K26" s="56" t="str">
        <f t="shared" si="22"/>
        <v>Black</v>
      </c>
      <c r="L26" s="56" t="str">
        <f t="shared" si="23"/>
        <v>Black</v>
      </c>
      <c r="M26" s="56" t="str">
        <f t="shared" si="24"/>
        <v>Black</v>
      </c>
      <c r="N26" s="56" t="str">
        <f t="shared" si="10"/>
        <v>42-082</v>
      </c>
      <c r="O26" s="56" t="str">
        <f t="shared" si="11"/>
        <v>42-083</v>
      </c>
      <c r="P26" s="56" t="str">
        <f t="shared" si="12"/>
        <v>42-083</v>
      </c>
      <c r="Q26" s="56" t="str">
        <f t="shared" si="13"/>
        <v>42-083</v>
      </c>
      <c r="R26" s="37">
        <v>115</v>
      </c>
      <c r="S26" s="37">
        <v>29.08</v>
      </c>
      <c r="T26" s="37">
        <v>11.52</v>
      </c>
      <c r="U26" s="37">
        <v>532.47</v>
      </c>
      <c r="V26" s="37">
        <v>24.52</v>
      </c>
      <c r="W26" s="37">
        <v>41.77</v>
      </c>
      <c r="X26" s="37">
        <f t="shared" si="2"/>
        <v>25.329921695213674</v>
      </c>
      <c r="Y26" s="37">
        <f t="shared" si="3"/>
        <v>36.397164192935584</v>
      </c>
      <c r="Z26" s="37">
        <v>42.54</v>
      </c>
      <c r="AA26" s="37">
        <v>61.16</v>
      </c>
      <c r="AB26" s="37">
        <f t="shared" si="14"/>
        <v>647.47</v>
      </c>
      <c r="AC26" s="37">
        <f t="shared" si="15"/>
        <v>0.40456225446136163</v>
      </c>
      <c r="AD26" s="37">
        <f t="shared" si="16"/>
        <v>0.59543774553863837</v>
      </c>
      <c r="AE26" s="37">
        <f t="shared" si="17"/>
        <v>0.40488613157397668</v>
      </c>
      <c r="AF26" s="37">
        <f t="shared" si="4"/>
        <v>0.59511386842602332</v>
      </c>
      <c r="AG26" s="37">
        <v>1</v>
      </c>
      <c r="AH26" s="37">
        <f t="shared" si="18"/>
        <v>106.05665185844991</v>
      </c>
      <c r="AI26" s="37">
        <f t="shared" si="19"/>
        <v>156.09497175175278</v>
      </c>
      <c r="AJ26" s="37">
        <f t="shared" si="20"/>
        <v>155.8852710376479</v>
      </c>
      <c r="AK26" s="37">
        <f t="shared" si="21"/>
        <v>229.43310535214943</v>
      </c>
      <c r="AL26" s="2"/>
    </row>
    <row r="27" spans="2:42" x14ac:dyDescent="0.2">
      <c r="B27" s="51" t="s">
        <v>29</v>
      </c>
      <c r="C27" s="51" t="s">
        <v>83</v>
      </c>
      <c r="D27" s="51">
        <v>7.5</v>
      </c>
      <c r="E27" s="51" t="s">
        <v>45</v>
      </c>
      <c r="F27" s="37" t="str">
        <f t="shared" si="5"/>
        <v>6219K72</v>
      </c>
      <c r="G27" s="37" t="str">
        <f t="shared" si="6"/>
        <v>6219K72</v>
      </c>
      <c r="H27" s="37" t="str">
        <f t="shared" si="7"/>
        <v>6219K73</v>
      </c>
      <c r="I27" s="37" t="str">
        <f t="shared" si="8"/>
        <v>6219K73</v>
      </c>
      <c r="J27" s="56" t="str">
        <f t="shared" si="9"/>
        <v xml:space="preserve">Red </v>
      </c>
      <c r="K27" s="56" t="str">
        <f t="shared" si="22"/>
        <v xml:space="preserve">Red </v>
      </c>
      <c r="L27" s="56" t="str">
        <f t="shared" si="23"/>
        <v>Black</v>
      </c>
      <c r="M27" s="56" t="str">
        <f t="shared" si="24"/>
        <v>Black</v>
      </c>
      <c r="N27" s="56" t="str">
        <f t="shared" si="10"/>
        <v>42-082</v>
      </c>
      <c r="O27" s="56" t="str">
        <f t="shared" si="11"/>
        <v>42-082</v>
      </c>
      <c r="P27" s="56" t="str">
        <f t="shared" si="12"/>
        <v>42-083</v>
      </c>
      <c r="Q27" s="56" t="str">
        <f t="shared" si="13"/>
        <v>42-083</v>
      </c>
      <c r="R27" s="37">
        <v>115</v>
      </c>
      <c r="S27" s="37">
        <v>29.08</v>
      </c>
      <c r="T27" s="37">
        <v>11.52</v>
      </c>
      <c r="U27" s="37">
        <v>480.4</v>
      </c>
      <c r="V27" s="37">
        <v>22.12</v>
      </c>
      <c r="W27" s="37">
        <v>41.12</v>
      </c>
      <c r="X27" s="37">
        <f t="shared" si="2"/>
        <v>23.464306348673162</v>
      </c>
      <c r="Y27" s="37">
        <f t="shared" si="3"/>
        <v>35.402835068861265</v>
      </c>
      <c r="Z27" s="37">
        <v>42.54</v>
      </c>
      <c r="AA27" s="37">
        <v>61.16</v>
      </c>
      <c r="AB27" s="37">
        <f t="shared" si="14"/>
        <v>595.4</v>
      </c>
      <c r="AC27" s="37">
        <f t="shared" si="15"/>
        <v>0.44841781032738215</v>
      </c>
      <c r="AD27" s="37">
        <f t="shared" si="16"/>
        <v>0.55158218967261785</v>
      </c>
      <c r="AE27" s="37">
        <f t="shared" si="17"/>
        <v>0.42114396551894595</v>
      </c>
      <c r="AF27" s="37">
        <f t="shared" si="4"/>
        <v>0.57885603448105405</v>
      </c>
      <c r="AG27" s="37">
        <v>1</v>
      </c>
      <c r="AH27" s="37">
        <f t="shared" si="18"/>
        <v>112.44037001804503</v>
      </c>
      <c r="AI27" s="37">
        <f t="shared" si="19"/>
        <v>138.30874705193537</v>
      </c>
      <c r="AJ27" s="37">
        <f t="shared" si="20"/>
        <v>154.54759425087832</v>
      </c>
      <c r="AK27" s="37">
        <f t="shared" si="21"/>
        <v>190.10328867914126</v>
      </c>
      <c r="AL27" s="2"/>
    </row>
    <row r="28" spans="2:42" x14ac:dyDescent="0.2">
      <c r="B28" s="51" t="s">
        <v>29</v>
      </c>
      <c r="C28" s="51" t="s">
        <v>84</v>
      </c>
      <c r="D28" s="51">
        <v>7.5</v>
      </c>
      <c r="E28" s="51" t="s">
        <v>45</v>
      </c>
      <c r="F28" s="37" t="str">
        <f t="shared" si="5"/>
        <v>6219K72</v>
      </c>
      <c r="G28" s="37" t="str">
        <f t="shared" si="6"/>
        <v>6219K72</v>
      </c>
      <c r="H28" s="37" t="str">
        <f t="shared" si="7"/>
        <v>6219K73</v>
      </c>
      <c r="I28" s="37" t="str">
        <f t="shared" si="8"/>
        <v>6219K73</v>
      </c>
      <c r="J28" s="56" t="str">
        <f t="shared" si="9"/>
        <v xml:space="preserve">Red </v>
      </c>
      <c r="K28" s="56" t="str">
        <f t="shared" si="22"/>
        <v xml:space="preserve">Red </v>
      </c>
      <c r="L28" s="56" t="str">
        <f t="shared" si="23"/>
        <v>Black</v>
      </c>
      <c r="M28" s="56" t="str">
        <f t="shared" si="24"/>
        <v>Black</v>
      </c>
      <c r="N28" s="56" t="str">
        <f t="shared" si="10"/>
        <v>42-082</v>
      </c>
      <c r="O28" s="56" t="str">
        <f t="shared" si="11"/>
        <v>42-082</v>
      </c>
      <c r="P28" s="56" t="str">
        <f t="shared" si="12"/>
        <v>42-083</v>
      </c>
      <c r="Q28" s="56" t="str">
        <f t="shared" si="13"/>
        <v>42-083</v>
      </c>
      <c r="R28" s="37">
        <v>115</v>
      </c>
      <c r="S28" s="37">
        <v>29.08</v>
      </c>
      <c r="T28" s="37">
        <v>11.52</v>
      </c>
      <c r="U28" s="37">
        <v>493.95</v>
      </c>
      <c r="V28" s="37">
        <v>21.93</v>
      </c>
      <c r="W28" s="37">
        <v>40.67</v>
      </c>
      <c r="X28" s="37">
        <f t="shared" si="2"/>
        <v>23.280275063634122</v>
      </c>
      <c r="Y28" s="37">
        <f t="shared" si="3"/>
        <v>35.165032432876259</v>
      </c>
      <c r="Z28" s="37">
        <v>42.54</v>
      </c>
      <c r="AA28" s="37">
        <v>61.16</v>
      </c>
      <c r="AB28" s="37">
        <f t="shared" si="14"/>
        <v>608.95000000000005</v>
      </c>
      <c r="AC28" s="37">
        <f t="shared" si="15"/>
        <v>0.45274388660944709</v>
      </c>
      <c r="AD28" s="37">
        <f t="shared" si="16"/>
        <v>0.54725611339055291</v>
      </c>
      <c r="AE28" s="37">
        <f t="shared" si="17"/>
        <v>0.42503217081628086</v>
      </c>
      <c r="AF28" s="37">
        <f t="shared" si="4"/>
        <v>0.57496782918371914</v>
      </c>
      <c r="AG28" s="37">
        <v>1</v>
      </c>
      <c r="AH28" s="37">
        <f t="shared" si="18"/>
        <v>117.18068508634529</v>
      </c>
      <c r="AI28" s="37">
        <f t="shared" si="19"/>
        <v>141.64265533222897</v>
      </c>
      <c r="AJ28" s="37">
        <f t="shared" si="20"/>
        <v>158.51770466447749</v>
      </c>
      <c r="AK28" s="37">
        <f t="shared" si="21"/>
        <v>191.60895491694828</v>
      </c>
      <c r="AL28" s="2"/>
    </row>
    <row r="29" spans="2:42" x14ac:dyDescent="0.2">
      <c r="B29" s="51" t="s">
        <v>29</v>
      </c>
      <c r="C29" s="51" t="s">
        <v>74</v>
      </c>
      <c r="D29" s="51">
        <v>10</v>
      </c>
      <c r="E29" s="51" t="s">
        <v>45</v>
      </c>
      <c r="F29" s="37" t="str">
        <f t="shared" si="5"/>
        <v>6219K72</v>
      </c>
      <c r="G29" s="37" t="str">
        <f t="shared" si="6"/>
        <v>6219K73</v>
      </c>
      <c r="H29" s="37" t="str">
        <f t="shared" si="7"/>
        <v>6219K73</v>
      </c>
      <c r="I29" s="37" t="str">
        <f t="shared" si="8"/>
        <v>6219K73</v>
      </c>
      <c r="J29" s="56" t="str">
        <f t="shared" si="9"/>
        <v xml:space="preserve">Red </v>
      </c>
      <c r="K29" s="56" t="str">
        <f t="shared" si="22"/>
        <v>Black</v>
      </c>
      <c r="L29" s="56" t="str">
        <f t="shared" si="23"/>
        <v>Black</v>
      </c>
      <c r="M29" s="56" t="str">
        <f t="shared" si="24"/>
        <v>Black</v>
      </c>
      <c r="N29" s="56" t="str">
        <f t="shared" si="10"/>
        <v>42-082</v>
      </c>
      <c r="O29" s="56" t="str">
        <f t="shared" si="11"/>
        <v>42-083</v>
      </c>
      <c r="P29" s="56" t="str">
        <f t="shared" si="12"/>
        <v>42-083</v>
      </c>
      <c r="Q29" s="56" t="str">
        <f t="shared" si="13"/>
        <v>42-083</v>
      </c>
      <c r="R29" s="37">
        <v>128</v>
      </c>
      <c r="S29" s="37">
        <v>29.08</v>
      </c>
      <c r="T29" s="37">
        <v>11.52</v>
      </c>
      <c r="U29" s="37">
        <v>532.47</v>
      </c>
      <c r="V29" s="37">
        <v>24.52</v>
      </c>
      <c r="W29" s="37">
        <v>41.77</v>
      </c>
      <c r="X29" s="37">
        <f t="shared" si="2"/>
        <v>25.403734310415309</v>
      </c>
      <c r="Y29" s="37">
        <f t="shared" si="3"/>
        <v>35.907508138144053</v>
      </c>
      <c r="Z29" s="37">
        <v>42.54</v>
      </c>
      <c r="AA29" s="37">
        <v>61.16</v>
      </c>
      <c r="AB29" s="37">
        <f t="shared" si="14"/>
        <v>660.47</v>
      </c>
      <c r="AC29" s="37">
        <f t="shared" si="15"/>
        <v>0.40282712011247512</v>
      </c>
      <c r="AD29" s="37">
        <f t="shared" si="16"/>
        <v>0.59717287988752488</v>
      </c>
      <c r="AE29" s="37">
        <f t="shared" si="17"/>
        <v>0.41289228027887415</v>
      </c>
      <c r="AF29" s="37">
        <f t="shared" si="4"/>
        <v>0.58710771972112585</v>
      </c>
      <c r="AG29" s="37">
        <v>1</v>
      </c>
      <c r="AH29" s="37">
        <f t="shared" si="18"/>
        <v>109.85214977757704</v>
      </c>
      <c r="AI29" s="37">
        <f t="shared" si="19"/>
        <v>162.85081457821099</v>
      </c>
      <c r="AJ29" s="37">
        <f t="shared" si="20"/>
        <v>156.20307824310942</v>
      </c>
      <c r="AK29" s="37">
        <f t="shared" si="21"/>
        <v>231.56395740110258</v>
      </c>
      <c r="AL29" s="2"/>
    </row>
    <row r="30" spans="2:42" x14ac:dyDescent="0.2">
      <c r="B30" s="51" t="s">
        <v>29</v>
      </c>
      <c r="C30" s="51" t="s">
        <v>83</v>
      </c>
      <c r="D30" s="51">
        <v>10</v>
      </c>
      <c r="E30" s="51" t="s">
        <v>45</v>
      </c>
      <c r="F30" s="37" t="str">
        <f t="shared" si="5"/>
        <v>6219K72</v>
      </c>
      <c r="G30" s="37" t="str">
        <f t="shared" si="6"/>
        <v>6219K72</v>
      </c>
      <c r="H30" s="37" t="str">
        <f t="shared" si="7"/>
        <v>6219K73</v>
      </c>
      <c r="I30" s="37" t="str">
        <f t="shared" si="8"/>
        <v>6219K73</v>
      </c>
      <c r="J30" s="56" t="str">
        <f t="shared" si="9"/>
        <v xml:space="preserve">Red </v>
      </c>
      <c r="K30" s="56" t="str">
        <f t="shared" si="22"/>
        <v xml:space="preserve">Red </v>
      </c>
      <c r="L30" s="56" t="str">
        <f t="shared" si="23"/>
        <v>Black</v>
      </c>
      <c r="M30" s="56" t="str">
        <f t="shared" si="24"/>
        <v>Black</v>
      </c>
      <c r="N30" s="56" t="str">
        <f t="shared" si="10"/>
        <v>42-082</v>
      </c>
      <c r="O30" s="56" t="str">
        <f t="shared" si="11"/>
        <v>42-082</v>
      </c>
      <c r="P30" s="56" t="str">
        <f t="shared" si="12"/>
        <v>42-083</v>
      </c>
      <c r="Q30" s="56" t="str">
        <f t="shared" si="13"/>
        <v>42-083</v>
      </c>
      <c r="R30" s="37">
        <v>128</v>
      </c>
      <c r="S30" s="37">
        <v>29.08</v>
      </c>
      <c r="T30" s="37">
        <v>11.52</v>
      </c>
      <c r="U30" s="37">
        <v>480.4</v>
      </c>
      <c r="V30" s="37">
        <v>22.12</v>
      </c>
      <c r="W30" s="37">
        <v>41.12</v>
      </c>
      <c r="X30" s="37">
        <f t="shared" si="2"/>
        <v>23.584299802761343</v>
      </c>
      <c r="Y30" s="37">
        <f t="shared" si="3"/>
        <v>34.892518080210387</v>
      </c>
      <c r="Z30" s="37">
        <v>42.54</v>
      </c>
      <c r="AA30" s="37">
        <v>61.16</v>
      </c>
      <c r="AB30" s="37">
        <f t="shared" si="14"/>
        <v>608.4</v>
      </c>
      <c r="AC30" s="37">
        <f t="shared" si="15"/>
        <v>0.44559708973292567</v>
      </c>
      <c r="AD30" s="37">
        <f t="shared" si="16"/>
        <v>0.55440291026707433</v>
      </c>
      <c r="AE30" s="37">
        <f t="shared" si="17"/>
        <v>0.42948793197824742</v>
      </c>
      <c r="AF30" s="37">
        <f t="shared" si="4"/>
        <v>0.57051206802175258</v>
      </c>
      <c r="AG30" s="37">
        <v>1</v>
      </c>
      <c r="AH30" s="37">
        <f t="shared" si="18"/>
        <v>116.4347235484972</v>
      </c>
      <c r="AI30" s="37">
        <f t="shared" si="19"/>
        <v>144.86573426706852</v>
      </c>
      <c r="AJ30" s="37">
        <f t="shared" si="20"/>
        <v>154.66654584501478</v>
      </c>
      <c r="AK30" s="37">
        <f t="shared" si="21"/>
        <v>192.43299633941947</v>
      </c>
      <c r="AL30" s="2"/>
    </row>
    <row r="31" spans="2:42" x14ac:dyDescent="0.2">
      <c r="B31" s="51" t="s">
        <v>29</v>
      </c>
      <c r="C31" s="51" t="s">
        <v>84</v>
      </c>
      <c r="D31" s="51">
        <v>10</v>
      </c>
      <c r="E31" s="51" t="s">
        <v>45</v>
      </c>
      <c r="F31" s="37" t="str">
        <f t="shared" si="5"/>
        <v>6219K72</v>
      </c>
      <c r="G31" s="37" t="str">
        <f t="shared" si="6"/>
        <v>6219K72</v>
      </c>
      <c r="H31" s="37" t="str">
        <f t="shared" si="7"/>
        <v>6219K73</v>
      </c>
      <c r="I31" s="37" t="str">
        <f t="shared" si="8"/>
        <v>6219K73</v>
      </c>
      <c r="J31" s="56" t="str">
        <f t="shared" si="9"/>
        <v xml:space="preserve">Red </v>
      </c>
      <c r="K31" s="56" t="str">
        <f t="shared" si="22"/>
        <v xml:space="preserve">Red </v>
      </c>
      <c r="L31" s="56" t="str">
        <f t="shared" si="23"/>
        <v>Black</v>
      </c>
      <c r="M31" s="56" t="str">
        <f t="shared" si="24"/>
        <v>Black</v>
      </c>
      <c r="N31" s="56" t="str">
        <f t="shared" si="10"/>
        <v>42-082</v>
      </c>
      <c r="O31" s="56" t="str">
        <f t="shared" si="11"/>
        <v>42-082</v>
      </c>
      <c r="P31" s="56" t="str">
        <f t="shared" si="12"/>
        <v>42-083</v>
      </c>
      <c r="Q31" s="56" t="str">
        <f t="shared" si="13"/>
        <v>42-083</v>
      </c>
      <c r="R31" s="37">
        <v>128</v>
      </c>
      <c r="S31" s="37">
        <v>29.08</v>
      </c>
      <c r="T31" s="37">
        <v>11.52</v>
      </c>
      <c r="U31" s="37">
        <v>493.95</v>
      </c>
      <c r="V31" s="37">
        <v>21.93</v>
      </c>
      <c r="W31" s="37">
        <v>40.67</v>
      </c>
      <c r="X31" s="37">
        <f t="shared" si="2"/>
        <v>23.401500924511616</v>
      </c>
      <c r="Y31" s="37">
        <f t="shared" si="3"/>
        <v>34.670803923144952</v>
      </c>
      <c r="Z31" s="37">
        <v>42.54</v>
      </c>
      <c r="AA31" s="37">
        <v>61.16</v>
      </c>
      <c r="AB31" s="37">
        <f t="shared" si="14"/>
        <v>621.95000000000005</v>
      </c>
      <c r="AC31" s="37">
        <f t="shared" si="15"/>
        <v>0.4498941954745741</v>
      </c>
      <c r="AD31" s="37">
        <f t="shared" si="16"/>
        <v>0.5501058045254259</v>
      </c>
      <c r="AE31" s="37">
        <f t="shared" si="17"/>
        <v>0.43311308170135787</v>
      </c>
      <c r="AF31" s="37">
        <f t="shared" si="4"/>
        <v>0.56688691829864213</v>
      </c>
      <c r="AG31" s="37">
        <v>1</v>
      </c>
      <c r="AH31" s="37">
        <f t="shared" si="18"/>
        <v>121.19010546356947</v>
      </c>
      <c r="AI31" s="37">
        <f t="shared" si="19"/>
        <v>148.18457570059007</v>
      </c>
      <c r="AJ31" s="37">
        <f t="shared" si="20"/>
        <v>158.62158941184191</v>
      </c>
      <c r="AK31" s="37">
        <f t="shared" si="21"/>
        <v>193.9537294239986</v>
      </c>
      <c r="AL31" s="2"/>
    </row>
    <row r="32" spans="2:42" x14ac:dyDescent="0.2">
      <c r="B32" s="51" t="s">
        <v>29</v>
      </c>
      <c r="C32" s="51" t="s">
        <v>74</v>
      </c>
      <c r="D32" s="51">
        <v>15</v>
      </c>
      <c r="E32" s="51" t="s">
        <v>45</v>
      </c>
      <c r="F32" s="37" t="str">
        <f t="shared" si="5"/>
        <v>6219K72</v>
      </c>
      <c r="G32" s="37" t="str">
        <f t="shared" si="6"/>
        <v>6219K73</v>
      </c>
      <c r="H32" s="37" t="str">
        <f t="shared" si="7"/>
        <v>6219K73</v>
      </c>
      <c r="I32" s="37" t="str">
        <f t="shared" si="8"/>
        <v>6219K73</v>
      </c>
      <c r="J32" s="56" t="str">
        <f t="shared" si="9"/>
        <v xml:space="preserve">Red </v>
      </c>
      <c r="K32" s="56" t="str">
        <f t="shared" si="22"/>
        <v>Black</v>
      </c>
      <c r="L32" s="56" t="str">
        <f t="shared" si="23"/>
        <v>Black</v>
      </c>
      <c r="M32" s="56" t="str">
        <f t="shared" si="24"/>
        <v>Black</v>
      </c>
      <c r="N32" s="56" t="str">
        <f t="shared" si="10"/>
        <v>42-082</v>
      </c>
      <c r="O32" s="56" t="str">
        <f t="shared" si="11"/>
        <v>42-083</v>
      </c>
      <c r="P32" s="56" t="str">
        <f t="shared" si="12"/>
        <v>42-083</v>
      </c>
      <c r="Q32" s="56" t="str">
        <f t="shared" si="13"/>
        <v>42-083</v>
      </c>
      <c r="R32" s="37">
        <v>211</v>
      </c>
      <c r="S32" s="37">
        <v>29.08</v>
      </c>
      <c r="T32" s="37">
        <v>11.52</v>
      </c>
      <c r="U32" s="37">
        <v>532.47</v>
      </c>
      <c r="V32" s="37">
        <v>24.52</v>
      </c>
      <c r="W32" s="37">
        <v>41.77</v>
      </c>
      <c r="X32" s="37">
        <f t="shared" si="2"/>
        <v>25.814147712752362</v>
      </c>
      <c r="Y32" s="37">
        <f t="shared" si="3"/>
        <v>33.18491923009671</v>
      </c>
      <c r="Z32" s="37">
        <v>42.54</v>
      </c>
      <c r="AA32" s="37">
        <v>61.16</v>
      </c>
      <c r="AB32" s="37">
        <f t="shared" si="14"/>
        <v>743.47</v>
      </c>
      <c r="AC32" s="37">
        <f t="shared" si="15"/>
        <v>0.39317941436877379</v>
      </c>
      <c r="AD32" s="37">
        <f t="shared" si="16"/>
        <v>0.60682058563122621</v>
      </c>
      <c r="AE32" s="37">
        <f t="shared" si="17"/>
        <v>0.45740812246408258</v>
      </c>
      <c r="AF32" s="37">
        <f t="shared" si="4"/>
        <v>0.54259187753591742</v>
      </c>
      <c r="AG32" s="37">
        <v>1</v>
      </c>
      <c r="AH32" s="37">
        <f t="shared" si="18"/>
        <v>133.70821550956305</v>
      </c>
      <c r="AI32" s="37">
        <f t="shared" si="19"/>
        <v>206.36100129880842</v>
      </c>
      <c r="AJ32" s="37">
        <f t="shared" si="20"/>
        <v>158.60888369118919</v>
      </c>
      <c r="AK32" s="37">
        <f t="shared" si="21"/>
        <v>244.79189950043937</v>
      </c>
      <c r="AL32" s="2"/>
    </row>
    <row r="33" spans="2:38" x14ac:dyDescent="0.2">
      <c r="B33" s="51" t="s">
        <v>29</v>
      </c>
      <c r="C33" s="51" t="s">
        <v>83</v>
      </c>
      <c r="D33" s="51">
        <v>15</v>
      </c>
      <c r="E33" s="51" t="s">
        <v>45</v>
      </c>
      <c r="F33" s="37" t="str">
        <f t="shared" si="5"/>
        <v>6219K72</v>
      </c>
      <c r="G33" s="37" t="str">
        <f t="shared" si="6"/>
        <v>6219K73</v>
      </c>
      <c r="H33" s="37" t="str">
        <f t="shared" si="7"/>
        <v>6219K73</v>
      </c>
      <c r="I33" s="37" t="str">
        <f t="shared" si="8"/>
        <v>6219K73</v>
      </c>
      <c r="J33" s="56" t="str">
        <f t="shared" si="9"/>
        <v xml:space="preserve">Red </v>
      </c>
      <c r="K33" s="56" t="str">
        <f t="shared" si="22"/>
        <v>Black</v>
      </c>
      <c r="L33" s="56" t="str">
        <f t="shared" si="23"/>
        <v>Black</v>
      </c>
      <c r="M33" s="56" t="str">
        <f t="shared" si="24"/>
        <v>Black</v>
      </c>
      <c r="N33" s="56" t="str">
        <f t="shared" si="10"/>
        <v>42-082</v>
      </c>
      <c r="O33" s="56" t="str">
        <f t="shared" si="11"/>
        <v>42-083</v>
      </c>
      <c r="P33" s="56" t="str">
        <f t="shared" si="12"/>
        <v>42-083</v>
      </c>
      <c r="Q33" s="56" t="str">
        <f t="shared" si="13"/>
        <v>42-083</v>
      </c>
      <c r="R33" s="37">
        <v>211</v>
      </c>
      <c r="S33" s="37">
        <v>29.08</v>
      </c>
      <c r="T33" s="37">
        <v>11.52</v>
      </c>
      <c r="U33" s="37">
        <v>480.4</v>
      </c>
      <c r="V33" s="37">
        <v>22.12</v>
      </c>
      <c r="W33" s="37">
        <v>41.12</v>
      </c>
      <c r="X33" s="37">
        <f t="shared" si="2"/>
        <v>24.244038183396011</v>
      </c>
      <c r="Y33" s="37">
        <f t="shared" si="3"/>
        <v>32.086734162568703</v>
      </c>
      <c r="Z33" s="37">
        <v>42.54</v>
      </c>
      <c r="AA33" s="37">
        <v>61.16</v>
      </c>
      <c r="AB33" s="37">
        <f t="shared" si="14"/>
        <v>691.4</v>
      </c>
      <c r="AC33" s="37">
        <f t="shared" si="15"/>
        <v>0.43008843010352582</v>
      </c>
      <c r="AD33" s="37">
        <f t="shared" si="16"/>
        <v>0.56991156989647418</v>
      </c>
      <c r="AE33" s="37">
        <f t="shared" si="17"/>
        <v>0.47536405882000154</v>
      </c>
      <c r="AF33" s="37">
        <f t="shared" si="4"/>
        <v>0.52463594117999846</v>
      </c>
      <c r="AG33" s="37">
        <v>1</v>
      </c>
      <c r="AH33" s="37">
        <f t="shared" si="18"/>
        <v>141.35574944651862</v>
      </c>
      <c r="AI33" s="37">
        <f t="shared" si="19"/>
        <v>187.31096082163046</v>
      </c>
      <c r="AJ33" s="37">
        <f t="shared" si="20"/>
        <v>156.00739112705915</v>
      </c>
      <c r="AK33" s="37">
        <f t="shared" si="21"/>
        <v>206.72589860479175</v>
      </c>
      <c r="AL33" s="2"/>
    </row>
    <row r="34" spans="2:38" x14ac:dyDescent="0.2">
      <c r="B34" s="51" t="s">
        <v>29</v>
      </c>
      <c r="C34" s="51" t="s">
        <v>84</v>
      </c>
      <c r="D34" s="51">
        <v>15</v>
      </c>
      <c r="E34" s="51" t="s">
        <v>45</v>
      </c>
      <c r="F34" s="37" t="str">
        <f t="shared" si="5"/>
        <v>6219K72</v>
      </c>
      <c r="G34" s="37" t="str">
        <f t="shared" si="6"/>
        <v>6219K73</v>
      </c>
      <c r="H34" s="37" t="str">
        <f t="shared" si="7"/>
        <v>6219K73</v>
      </c>
      <c r="I34" s="37" t="str">
        <f t="shared" si="8"/>
        <v>6219K73</v>
      </c>
      <c r="J34" s="56" t="str">
        <f t="shared" si="9"/>
        <v xml:space="preserve">Red </v>
      </c>
      <c r="K34" s="56" t="str">
        <f t="shared" si="22"/>
        <v>Black</v>
      </c>
      <c r="L34" s="56" t="str">
        <f t="shared" si="23"/>
        <v>Black</v>
      </c>
      <c r="M34" s="56" t="str">
        <f t="shared" si="24"/>
        <v>Black</v>
      </c>
      <c r="N34" s="56" t="str">
        <f t="shared" si="10"/>
        <v>42-082</v>
      </c>
      <c r="O34" s="56" t="str">
        <f t="shared" si="11"/>
        <v>42-083</v>
      </c>
      <c r="P34" s="56" t="str">
        <f t="shared" si="12"/>
        <v>42-083</v>
      </c>
      <c r="Q34" s="56" t="str">
        <f t="shared" si="13"/>
        <v>42-083</v>
      </c>
      <c r="R34" s="37">
        <v>211</v>
      </c>
      <c r="S34" s="37">
        <v>29.08</v>
      </c>
      <c r="T34" s="37">
        <v>11.52</v>
      </c>
      <c r="U34" s="37">
        <v>493.95</v>
      </c>
      <c r="V34" s="37">
        <v>21.93</v>
      </c>
      <c r="W34" s="37">
        <v>40.67</v>
      </c>
      <c r="X34" s="37">
        <f t="shared" si="2"/>
        <v>24.070080856798352</v>
      </c>
      <c r="Y34" s="37">
        <f t="shared" si="3"/>
        <v>31.945054968437478</v>
      </c>
      <c r="Z34" s="37">
        <v>42.54</v>
      </c>
      <c r="AA34" s="37">
        <v>61.16</v>
      </c>
      <c r="AB34" s="37">
        <f t="shared" si="14"/>
        <v>704.95</v>
      </c>
      <c r="AC34" s="37">
        <f t="shared" si="15"/>
        <v>0.43417769495067338</v>
      </c>
      <c r="AD34" s="37">
        <f t="shared" si="16"/>
        <v>0.56582230504932662</v>
      </c>
      <c r="AE34" s="37">
        <f t="shared" si="17"/>
        <v>0.47768059240618899</v>
      </c>
      <c r="AF34" s="37">
        <f t="shared" si="4"/>
        <v>0.52231940759381101</v>
      </c>
      <c r="AG34" s="37">
        <v>1</v>
      </c>
      <c r="AH34" s="37">
        <f t="shared" si="18"/>
        <v>146.20540235325518</v>
      </c>
      <c r="AI34" s="37">
        <f t="shared" si="19"/>
        <v>190.53553126348777</v>
      </c>
      <c r="AJ34" s="37">
        <f t="shared" si="20"/>
        <v>159.86816370222203</v>
      </c>
      <c r="AK34" s="37">
        <f t="shared" si="21"/>
        <v>208.34090268103506</v>
      </c>
      <c r="AL34" s="2"/>
    </row>
    <row r="35" spans="2:38" x14ac:dyDescent="0.2">
      <c r="B35" s="51" t="s">
        <v>29</v>
      </c>
      <c r="C35" s="51" t="s">
        <v>74</v>
      </c>
      <c r="D35" s="51">
        <v>20</v>
      </c>
      <c r="E35" s="51" t="s">
        <v>45</v>
      </c>
      <c r="F35" s="37" t="str">
        <f t="shared" si="5"/>
        <v>6219K72</v>
      </c>
      <c r="G35" s="37" t="str">
        <f t="shared" si="6"/>
        <v>6219K73</v>
      </c>
      <c r="H35" s="37" t="str">
        <f t="shared" si="7"/>
        <v>6219K73</v>
      </c>
      <c r="I35" s="37" t="str">
        <f t="shared" si="8"/>
        <v>6219K73</v>
      </c>
      <c r="J35" s="56" t="str">
        <f t="shared" si="9"/>
        <v xml:space="preserve">Red </v>
      </c>
      <c r="K35" s="56" t="str">
        <f t="shared" si="22"/>
        <v>Black</v>
      </c>
      <c r="L35" s="56" t="str">
        <f t="shared" si="23"/>
        <v>Black</v>
      </c>
      <c r="M35" s="56" t="str">
        <f t="shared" si="24"/>
        <v>Black</v>
      </c>
      <c r="N35" s="56" t="str">
        <f t="shared" si="10"/>
        <v>42-082</v>
      </c>
      <c r="O35" s="56" t="str">
        <f t="shared" si="11"/>
        <v>42-083</v>
      </c>
      <c r="P35" s="56" t="str">
        <f t="shared" si="12"/>
        <v>42-083</v>
      </c>
      <c r="Q35" s="56" t="str">
        <f t="shared" si="13"/>
        <v>42-083</v>
      </c>
      <c r="R35" s="37">
        <v>225</v>
      </c>
      <c r="S35" s="37">
        <v>29.08</v>
      </c>
      <c r="T35" s="37">
        <v>11.52</v>
      </c>
      <c r="U35" s="37">
        <v>532.47</v>
      </c>
      <c r="V35" s="37">
        <v>24.52</v>
      </c>
      <c r="W35" s="37">
        <v>41.77</v>
      </c>
      <c r="X35" s="37">
        <f t="shared" si="2"/>
        <v>25.874509089468891</v>
      </c>
      <c r="Y35" s="37">
        <f t="shared" si="3"/>
        <v>32.784495623589059</v>
      </c>
      <c r="Z35" s="37">
        <v>42.54</v>
      </c>
      <c r="AA35" s="37">
        <v>61.16</v>
      </c>
      <c r="AB35" s="37">
        <f t="shared" si="14"/>
        <v>757.47</v>
      </c>
      <c r="AC35" s="37">
        <f t="shared" si="15"/>
        <v>0.39176048214694659</v>
      </c>
      <c r="AD35" s="37">
        <f t="shared" si="16"/>
        <v>0.60823951785305341</v>
      </c>
      <c r="AE35" s="37">
        <f t="shared" si="17"/>
        <v>0.46395527103353396</v>
      </c>
      <c r="AF35" s="37">
        <f t="shared" si="4"/>
        <v>0.53604472896646604</v>
      </c>
      <c r="AG35" s="37">
        <v>1</v>
      </c>
      <c r="AH35" s="37">
        <f t="shared" si="18"/>
        <v>137.67724778087603</v>
      </c>
      <c r="AI35" s="37">
        <f t="shared" si="19"/>
        <v>213.75495136889495</v>
      </c>
      <c r="AJ35" s="37">
        <f t="shared" si="20"/>
        <v>159.06956463097163</v>
      </c>
      <c r="AK35" s="37">
        <f t="shared" si="21"/>
        <v>246.96823621925742</v>
      </c>
      <c r="AL35" s="2"/>
    </row>
    <row r="36" spans="2:38" x14ac:dyDescent="0.2">
      <c r="B36" s="51" t="s">
        <v>29</v>
      </c>
      <c r="C36" s="51" t="s">
        <v>83</v>
      </c>
      <c r="D36" s="51">
        <v>20</v>
      </c>
      <c r="E36" s="51" t="s">
        <v>45</v>
      </c>
      <c r="F36" s="37" t="str">
        <f t="shared" si="5"/>
        <v>6219K72</v>
      </c>
      <c r="G36" s="37" t="str">
        <f t="shared" si="6"/>
        <v>6219K73</v>
      </c>
      <c r="H36" s="37" t="str">
        <f t="shared" si="7"/>
        <v>6219K73</v>
      </c>
      <c r="I36" s="37" t="str">
        <f t="shared" si="8"/>
        <v>6219K73</v>
      </c>
      <c r="J36" s="56" t="str">
        <f t="shared" si="9"/>
        <v xml:space="preserve">Red </v>
      </c>
      <c r="K36" s="56" t="str">
        <f t="shared" si="22"/>
        <v>Black</v>
      </c>
      <c r="L36" s="56" t="str">
        <f t="shared" si="23"/>
        <v>Black</v>
      </c>
      <c r="M36" s="56" t="str">
        <f t="shared" si="24"/>
        <v>Black</v>
      </c>
      <c r="N36" s="56" t="str">
        <f t="shared" si="10"/>
        <v>42-082</v>
      </c>
      <c r="O36" s="56" t="str">
        <f t="shared" si="11"/>
        <v>42-083</v>
      </c>
      <c r="P36" s="56" t="str">
        <f t="shared" si="12"/>
        <v>42-083</v>
      </c>
      <c r="Q36" s="56" t="str">
        <f t="shared" si="13"/>
        <v>42-083</v>
      </c>
      <c r="R36" s="37">
        <v>225</v>
      </c>
      <c r="S36" s="37">
        <v>29.08</v>
      </c>
      <c r="T36" s="37">
        <v>11.52</v>
      </c>
      <c r="U36" s="37">
        <v>480.4</v>
      </c>
      <c r="V36" s="37">
        <v>22.12</v>
      </c>
      <c r="W36" s="37">
        <v>41.12</v>
      </c>
      <c r="X36" s="37">
        <f t="shared" si="2"/>
        <v>24.34001701162461</v>
      </c>
      <c r="Y36" s="37">
        <f t="shared" si="3"/>
        <v>31.6785483413666</v>
      </c>
      <c r="Z36" s="37">
        <v>42.54</v>
      </c>
      <c r="AA36" s="37">
        <v>61.16</v>
      </c>
      <c r="AB36" s="37">
        <f t="shared" si="14"/>
        <v>705.4</v>
      </c>
      <c r="AC36" s="37">
        <f t="shared" si="15"/>
        <v>0.42783222821756905</v>
      </c>
      <c r="AD36" s="37">
        <f t="shared" si="16"/>
        <v>0.57216777178243095</v>
      </c>
      <c r="AE36" s="37">
        <f t="shared" si="17"/>
        <v>0.48203812391486922</v>
      </c>
      <c r="AF36" s="37">
        <f t="shared" si="4"/>
        <v>0.51796187608513078</v>
      </c>
      <c r="AG36" s="37">
        <v>1</v>
      </c>
      <c r="AH36" s="37">
        <f t="shared" si="18"/>
        <v>145.4756610492783</v>
      </c>
      <c r="AI36" s="37">
        <f t="shared" si="19"/>
        <v>194.55403156027043</v>
      </c>
      <c r="AJ36" s="37">
        <f t="shared" si="20"/>
        <v>156.31719273539488</v>
      </c>
      <c r="AK36" s="37">
        <f t="shared" si="21"/>
        <v>209.05311465505636</v>
      </c>
      <c r="AL36" s="2"/>
    </row>
    <row r="37" spans="2:38" x14ac:dyDescent="0.2">
      <c r="B37" s="51" t="s">
        <v>29</v>
      </c>
      <c r="C37" s="51" t="s">
        <v>84</v>
      </c>
      <c r="D37" s="51">
        <v>20</v>
      </c>
      <c r="E37" s="51" t="s">
        <v>45</v>
      </c>
      <c r="F37" s="37" t="str">
        <f t="shared" si="5"/>
        <v>6219K73</v>
      </c>
      <c r="G37" s="37" t="str">
        <f t="shared" si="6"/>
        <v>6219K73</v>
      </c>
      <c r="H37" s="37" t="str">
        <f t="shared" si="7"/>
        <v>6219K73</v>
      </c>
      <c r="I37" s="37" t="str">
        <f t="shared" si="8"/>
        <v>6219K73</v>
      </c>
      <c r="J37" s="56" t="str">
        <f t="shared" si="9"/>
        <v>Black</v>
      </c>
      <c r="K37" s="56" t="str">
        <f t="shared" si="22"/>
        <v>Black</v>
      </c>
      <c r="L37" s="56" t="str">
        <f t="shared" si="23"/>
        <v>Black</v>
      </c>
      <c r="M37" s="56" t="str">
        <f t="shared" si="24"/>
        <v>Black</v>
      </c>
      <c r="N37" s="56" t="str">
        <f t="shared" si="10"/>
        <v>42-083</v>
      </c>
      <c r="O37" s="56" t="str">
        <f t="shared" si="11"/>
        <v>42-083</v>
      </c>
      <c r="P37" s="56" t="str">
        <f t="shared" si="12"/>
        <v>42-083</v>
      </c>
      <c r="Q37" s="56" t="str">
        <f t="shared" si="13"/>
        <v>42-083</v>
      </c>
      <c r="R37" s="37">
        <v>225</v>
      </c>
      <c r="S37" s="37">
        <v>29.08</v>
      </c>
      <c r="T37" s="37">
        <v>11.52</v>
      </c>
      <c r="U37" s="37">
        <v>493.95</v>
      </c>
      <c r="V37" s="37">
        <v>21.93</v>
      </c>
      <c r="W37" s="37">
        <v>40.67</v>
      </c>
      <c r="X37" s="37">
        <f t="shared" si="2"/>
        <v>24.167638222407675</v>
      </c>
      <c r="Y37" s="37">
        <f t="shared" si="3"/>
        <v>31.547321093261004</v>
      </c>
      <c r="Z37" s="37">
        <v>42.54</v>
      </c>
      <c r="AA37" s="37">
        <v>61.16</v>
      </c>
      <c r="AB37" s="37">
        <f t="shared" si="14"/>
        <v>718.95</v>
      </c>
      <c r="AC37" s="37">
        <f t="shared" si="15"/>
        <v>0.43188438593305889</v>
      </c>
      <c r="AD37" s="37">
        <f t="shared" si="16"/>
        <v>0.56811561406694111</v>
      </c>
      <c r="AE37" s="37">
        <f t="shared" si="17"/>
        <v>0.48418376237310323</v>
      </c>
      <c r="AF37" s="37">
        <f t="shared" si="4"/>
        <v>0.51581623762689677</v>
      </c>
      <c r="AG37" s="37">
        <v>1</v>
      </c>
      <c r="AH37" s="37">
        <f t="shared" si="18"/>
        <v>150.34064598447554</v>
      </c>
      <c r="AI37" s="37">
        <f t="shared" si="19"/>
        <v>197.76326997366704</v>
      </c>
      <c r="AJ37" s="37">
        <f t="shared" si="20"/>
        <v>160.16263328209715</v>
      </c>
      <c r="AK37" s="37">
        <f t="shared" si="21"/>
        <v>210.68345075976032</v>
      </c>
      <c r="AL37" s="2"/>
    </row>
    <row r="38" spans="2:38" x14ac:dyDescent="0.2">
      <c r="B38" s="51" t="s">
        <v>30</v>
      </c>
      <c r="C38" s="51" t="s">
        <v>74</v>
      </c>
      <c r="D38" s="51">
        <v>7.5</v>
      </c>
      <c r="E38" s="51" t="s">
        <v>45</v>
      </c>
      <c r="F38" s="37" t="str">
        <f t="shared" si="5"/>
        <v>6219K72</v>
      </c>
      <c r="G38" s="37" t="str">
        <f t="shared" si="6"/>
        <v>6219K73</v>
      </c>
      <c r="H38" s="37" t="str">
        <f t="shared" si="7"/>
        <v>6219K73</v>
      </c>
      <c r="I38" s="37" t="str">
        <f t="shared" si="8"/>
        <v>6219K87</v>
      </c>
      <c r="J38" s="56" t="str">
        <f t="shared" si="9"/>
        <v xml:space="preserve">Red </v>
      </c>
      <c r="K38" s="56" t="str">
        <f t="shared" si="22"/>
        <v>Black</v>
      </c>
      <c r="L38" s="56" t="str">
        <f t="shared" si="23"/>
        <v>Black</v>
      </c>
      <c r="M38" s="56" t="str">
        <f t="shared" si="24"/>
        <v>Yellow</v>
      </c>
      <c r="N38" s="56" t="str">
        <f t="shared" si="10"/>
        <v>42-082</v>
      </c>
      <c r="O38" s="56" t="str">
        <f t="shared" si="11"/>
        <v>42-083</v>
      </c>
      <c r="P38" s="56" t="str">
        <f t="shared" si="12"/>
        <v>42-083</v>
      </c>
      <c r="Q38" s="56" t="str">
        <f t="shared" si="13"/>
        <v>42-084</v>
      </c>
      <c r="R38" s="37">
        <v>115</v>
      </c>
      <c r="S38" s="37">
        <v>34.43</v>
      </c>
      <c r="T38" s="37">
        <v>10.1</v>
      </c>
      <c r="U38" s="37">
        <v>703.7</v>
      </c>
      <c r="V38" s="37">
        <v>24.62</v>
      </c>
      <c r="W38" s="37">
        <v>47.13</v>
      </c>
      <c r="X38" s="37">
        <f t="shared" si="2"/>
        <v>25.997977281055331</v>
      </c>
      <c r="Y38" s="37">
        <f t="shared" si="3"/>
        <v>41.928522047147915</v>
      </c>
      <c r="Z38" s="37">
        <v>47.95</v>
      </c>
      <c r="AA38" s="37">
        <v>65.94</v>
      </c>
      <c r="AB38" s="37">
        <f t="shared" si="14"/>
        <v>818.7</v>
      </c>
      <c r="AC38" s="37">
        <f t="shared" si="15"/>
        <v>0.45781069278299624</v>
      </c>
      <c r="AD38" s="37">
        <f t="shared" si="16"/>
        <v>0.54218930721700376</v>
      </c>
      <c r="AE38" s="37">
        <f t="shared" si="17"/>
        <v>0.36414130956706225</v>
      </c>
      <c r="AF38" s="37">
        <f t="shared" si="4"/>
        <v>0.63585869043293775</v>
      </c>
      <c r="AG38" s="37">
        <v>1</v>
      </c>
      <c r="AH38" s="37">
        <f t="shared" si="18"/>
        <v>136.48366374635455</v>
      </c>
      <c r="AI38" s="37">
        <f t="shared" si="19"/>
        <v>161.63882639619933</v>
      </c>
      <c r="AJ38" s="37">
        <f t="shared" si="20"/>
        <v>238.32595043508448</v>
      </c>
      <c r="AK38" s="37">
        <f t="shared" si="21"/>
        <v>282.25155942236171</v>
      </c>
      <c r="AL38" s="2"/>
    </row>
    <row r="39" spans="2:38" x14ac:dyDescent="0.2">
      <c r="B39" s="51" t="s">
        <v>30</v>
      </c>
      <c r="C39" s="51" t="s">
        <v>83</v>
      </c>
      <c r="D39" s="51">
        <v>7.5</v>
      </c>
      <c r="E39" s="51" t="s">
        <v>45</v>
      </c>
      <c r="F39" s="37" t="str">
        <f t="shared" si="5"/>
        <v>6219K72</v>
      </c>
      <c r="G39" s="37" t="str">
        <f t="shared" si="6"/>
        <v>6219K73</v>
      </c>
      <c r="H39" s="37" t="str">
        <f t="shared" si="7"/>
        <v>6219K73</v>
      </c>
      <c r="I39" s="37" t="str">
        <f t="shared" si="8"/>
        <v>6219K87</v>
      </c>
      <c r="J39" s="56" t="str">
        <f t="shared" si="9"/>
        <v xml:space="preserve">Red </v>
      </c>
      <c r="K39" s="56" t="str">
        <f t="shared" si="22"/>
        <v>Black</v>
      </c>
      <c r="L39" s="56" t="str">
        <f t="shared" si="23"/>
        <v>Black</v>
      </c>
      <c r="M39" s="56" t="str">
        <f t="shared" si="24"/>
        <v>Yellow</v>
      </c>
      <c r="N39" s="56" t="str">
        <f t="shared" si="10"/>
        <v>42-082</v>
      </c>
      <c r="O39" s="56" t="str">
        <f t="shared" si="11"/>
        <v>42-083</v>
      </c>
      <c r="P39" s="56" t="str">
        <f t="shared" si="12"/>
        <v>42-083</v>
      </c>
      <c r="Q39" s="56" t="str">
        <f t="shared" si="13"/>
        <v>42-084</v>
      </c>
      <c r="R39" s="37">
        <v>115</v>
      </c>
      <c r="S39" s="37">
        <v>34.43</v>
      </c>
      <c r="T39" s="37">
        <v>10.1</v>
      </c>
      <c r="U39" s="37">
        <v>717</v>
      </c>
      <c r="V39" s="37">
        <v>24.74</v>
      </c>
      <c r="W39" s="37">
        <v>47.05</v>
      </c>
      <c r="X39" s="37">
        <f t="shared" si="2"/>
        <v>26.079362980769229</v>
      </c>
      <c r="Y39" s="37">
        <f t="shared" si="3"/>
        <v>41.94272836538461</v>
      </c>
      <c r="Z39" s="37">
        <v>47.95</v>
      </c>
      <c r="AA39" s="37">
        <v>65.94</v>
      </c>
      <c r="AB39" s="37">
        <f t="shared" si="14"/>
        <v>832</v>
      </c>
      <c r="AC39" s="37">
        <f t="shared" si="15"/>
        <v>0.45611338934787848</v>
      </c>
      <c r="AD39" s="37">
        <f t="shared" si="16"/>
        <v>0.54388661065212152</v>
      </c>
      <c r="AE39" s="37">
        <f t="shared" si="17"/>
        <v>0.36392586646368497</v>
      </c>
      <c r="AF39" s="37">
        <f t="shared" si="4"/>
        <v>0.63607413353631503</v>
      </c>
      <c r="AG39" s="37">
        <v>1</v>
      </c>
      <c r="AH39" s="37">
        <f t="shared" si="18"/>
        <v>138.10489507286348</v>
      </c>
      <c r="AI39" s="37">
        <f t="shared" si="19"/>
        <v>164.6814258249224</v>
      </c>
      <c r="AJ39" s="37">
        <f t="shared" si="20"/>
        <v>241.38144486457139</v>
      </c>
      <c r="AK39" s="37">
        <f t="shared" si="21"/>
        <v>287.83223423764269</v>
      </c>
      <c r="AL39" s="2"/>
    </row>
    <row r="40" spans="2:38" x14ac:dyDescent="0.2">
      <c r="B40" s="51" t="s">
        <v>30</v>
      </c>
      <c r="C40" s="51" t="s">
        <v>84</v>
      </c>
      <c r="D40" s="51">
        <v>7.5</v>
      </c>
      <c r="E40" s="51" t="s">
        <v>45</v>
      </c>
      <c r="F40" s="37" t="str">
        <f t="shared" si="5"/>
        <v>6219K72</v>
      </c>
      <c r="G40" s="37" t="str">
        <f t="shared" si="6"/>
        <v>6219K73</v>
      </c>
      <c r="H40" s="37" t="str">
        <f t="shared" si="7"/>
        <v>6219K73</v>
      </c>
      <c r="I40" s="37" t="str">
        <f t="shared" si="8"/>
        <v>6219K87</v>
      </c>
      <c r="J40" s="56" t="str">
        <f t="shared" si="9"/>
        <v xml:space="preserve">Red </v>
      </c>
      <c r="K40" s="56" t="str">
        <f t="shared" si="22"/>
        <v>Black</v>
      </c>
      <c r="L40" s="56" t="str">
        <f t="shared" si="23"/>
        <v>Black</v>
      </c>
      <c r="M40" s="56" t="str">
        <f t="shared" si="24"/>
        <v>Yellow</v>
      </c>
      <c r="N40" s="56" t="str">
        <f t="shared" si="10"/>
        <v>42-082</v>
      </c>
      <c r="O40" s="56" t="str">
        <f t="shared" si="11"/>
        <v>42-083</v>
      </c>
      <c r="P40" s="56" t="str">
        <f t="shared" si="12"/>
        <v>42-083</v>
      </c>
      <c r="Q40" s="56" t="str">
        <f t="shared" si="13"/>
        <v>42-084</v>
      </c>
      <c r="R40" s="37">
        <v>115</v>
      </c>
      <c r="S40" s="37">
        <v>34.43</v>
      </c>
      <c r="T40" s="37">
        <v>10.1</v>
      </c>
      <c r="U40" s="37">
        <v>684.66</v>
      </c>
      <c r="V40" s="37">
        <v>24.51</v>
      </c>
      <c r="W40" s="37">
        <v>45.09</v>
      </c>
      <c r="X40" s="37">
        <f t="shared" si="2"/>
        <v>25.936606307680766</v>
      </c>
      <c r="Y40" s="37">
        <f t="shared" si="3"/>
        <v>40.058048920791336</v>
      </c>
      <c r="Z40" s="37">
        <v>47.95</v>
      </c>
      <c r="AA40" s="37">
        <v>65.94</v>
      </c>
      <c r="AB40" s="37">
        <f t="shared" si="14"/>
        <v>799.66</v>
      </c>
      <c r="AC40" s="37">
        <f t="shared" si="15"/>
        <v>0.45909058795243451</v>
      </c>
      <c r="AD40" s="37">
        <f t="shared" si="16"/>
        <v>0.54090941204756549</v>
      </c>
      <c r="AE40" s="37">
        <f t="shared" si="17"/>
        <v>0.39250759901741983</v>
      </c>
      <c r="AF40" s="37">
        <f t="shared" si="4"/>
        <v>0.60749240098258017</v>
      </c>
      <c r="AG40" s="37">
        <v>1</v>
      </c>
      <c r="AH40" s="37">
        <f t="shared" si="18"/>
        <v>144.09596870186559</v>
      </c>
      <c r="AI40" s="37">
        <f t="shared" si="19"/>
        <v>169.77665792840435</v>
      </c>
      <c r="AJ40" s="37">
        <f t="shared" si="20"/>
        <v>223.0204108601782</v>
      </c>
      <c r="AK40" s="37">
        <f t="shared" si="21"/>
        <v>262.76696250955183</v>
      </c>
      <c r="AL40" s="2"/>
    </row>
    <row r="41" spans="2:38" x14ac:dyDescent="0.2">
      <c r="B41" s="51" t="s">
        <v>30</v>
      </c>
      <c r="C41" s="51" t="s">
        <v>74</v>
      </c>
      <c r="D41" s="51">
        <v>10</v>
      </c>
      <c r="E41" s="51" t="s">
        <v>45</v>
      </c>
      <c r="F41" s="37" t="str">
        <f t="shared" si="5"/>
        <v>6219K72</v>
      </c>
      <c r="G41" s="37" t="str">
        <f t="shared" si="6"/>
        <v>6219K73</v>
      </c>
      <c r="H41" s="37" t="str">
        <f t="shared" si="7"/>
        <v>6219K73</v>
      </c>
      <c r="I41" s="37" t="str">
        <f t="shared" si="8"/>
        <v>6219K87</v>
      </c>
      <c r="J41" s="56" t="str">
        <f t="shared" si="9"/>
        <v xml:space="preserve">Red </v>
      </c>
      <c r="K41" s="56" t="str">
        <f t="shared" si="22"/>
        <v>Black</v>
      </c>
      <c r="L41" s="56" t="str">
        <f t="shared" si="23"/>
        <v>Black</v>
      </c>
      <c r="M41" s="56" t="str">
        <f t="shared" si="24"/>
        <v>Yellow</v>
      </c>
      <c r="N41" s="56" t="str">
        <f t="shared" si="10"/>
        <v>42-082</v>
      </c>
      <c r="O41" s="56" t="str">
        <f t="shared" si="11"/>
        <v>42-083</v>
      </c>
      <c r="P41" s="56" t="str">
        <f t="shared" si="12"/>
        <v>42-083</v>
      </c>
      <c r="Q41" s="56" t="str">
        <f t="shared" si="13"/>
        <v>42-084</v>
      </c>
      <c r="R41" s="37">
        <v>128</v>
      </c>
      <c r="S41" s="37">
        <v>34.43</v>
      </c>
      <c r="T41" s="37">
        <v>10.1</v>
      </c>
      <c r="U41" s="37">
        <v>703.7</v>
      </c>
      <c r="V41" s="37">
        <v>24.62</v>
      </c>
      <c r="W41" s="37">
        <v>47.13</v>
      </c>
      <c r="X41" s="37">
        <f t="shared" si="2"/>
        <v>26.129775159312253</v>
      </c>
      <c r="Y41" s="37">
        <f t="shared" si="3"/>
        <v>41.431022003126131</v>
      </c>
      <c r="Z41" s="37">
        <v>47.95</v>
      </c>
      <c r="AA41" s="37">
        <v>65.94</v>
      </c>
      <c r="AB41" s="37">
        <f t="shared" si="14"/>
        <v>831.7</v>
      </c>
      <c r="AC41" s="37">
        <f t="shared" si="15"/>
        <v>0.45506204047315435</v>
      </c>
      <c r="AD41" s="37">
        <f t="shared" si="16"/>
        <v>0.54493795952684565</v>
      </c>
      <c r="AE41" s="37">
        <f t="shared" si="17"/>
        <v>0.37168604787494497</v>
      </c>
      <c r="AF41" s="37">
        <f t="shared" si="4"/>
        <v>0.62831395212505503</v>
      </c>
      <c r="AG41" s="37">
        <v>1</v>
      </c>
      <c r="AH41" s="37">
        <f t="shared" si="18"/>
        <v>140.67391378925558</v>
      </c>
      <c r="AI41" s="37">
        <f t="shared" si="19"/>
        <v>168.45737222833617</v>
      </c>
      <c r="AJ41" s="37">
        <f t="shared" si="20"/>
        <v>237.80118527226691</v>
      </c>
      <c r="AK41" s="37">
        <f t="shared" si="21"/>
        <v>284.76752871014139</v>
      </c>
      <c r="AL41" s="2"/>
    </row>
    <row r="42" spans="2:38" x14ac:dyDescent="0.2">
      <c r="B42" s="51" t="s">
        <v>30</v>
      </c>
      <c r="C42" s="51" t="s">
        <v>83</v>
      </c>
      <c r="D42" s="51">
        <v>10</v>
      </c>
      <c r="E42" s="51" t="s">
        <v>45</v>
      </c>
      <c r="F42" s="37" t="str">
        <f t="shared" si="5"/>
        <v>6219K72</v>
      </c>
      <c r="G42" s="37" t="str">
        <f t="shared" si="6"/>
        <v>6219K73</v>
      </c>
      <c r="H42" s="37" t="str">
        <f t="shared" si="7"/>
        <v>6219K73</v>
      </c>
      <c r="I42" s="37" t="str">
        <f t="shared" si="8"/>
        <v>6219K87</v>
      </c>
      <c r="J42" s="56" t="str">
        <f t="shared" si="9"/>
        <v xml:space="preserve">Red </v>
      </c>
      <c r="K42" s="56" t="str">
        <f t="shared" si="22"/>
        <v>Black</v>
      </c>
      <c r="L42" s="56" t="str">
        <f t="shared" si="23"/>
        <v>Black</v>
      </c>
      <c r="M42" s="56" t="str">
        <f t="shared" si="24"/>
        <v>Yellow</v>
      </c>
      <c r="N42" s="56" t="str">
        <f t="shared" si="10"/>
        <v>42-082</v>
      </c>
      <c r="O42" s="56" t="str">
        <f t="shared" si="11"/>
        <v>42-083</v>
      </c>
      <c r="P42" s="56" t="str">
        <f t="shared" si="12"/>
        <v>42-083</v>
      </c>
      <c r="Q42" s="56" t="str">
        <f t="shared" si="13"/>
        <v>42-084</v>
      </c>
      <c r="R42" s="37">
        <v>128</v>
      </c>
      <c r="S42" s="37">
        <v>34.43</v>
      </c>
      <c r="T42" s="37">
        <v>10.1</v>
      </c>
      <c r="U42" s="37">
        <v>717</v>
      </c>
      <c r="V42" s="37">
        <v>24.74</v>
      </c>
      <c r="W42" s="37">
        <v>47.05</v>
      </c>
      <c r="X42" s="37">
        <f t="shared" si="2"/>
        <v>26.207834319526626</v>
      </c>
      <c r="Y42" s="37">
        <f t="shared" si="3"/>
        <v>41.452840236686392</v>
      </c>
      <c r="Z42" s="37">
        <v>47.95</v>
      </c>
      <c r="AA42" s="37">
        <v>65.94</v>
      </c>
      <c r="AB42" s="37">
        <f t="shared" si="14"/>
        <v>845</v>
      </c>
      <c r="AC42" s="37">
        <f t="shared" si="15"/>
        <v>0.45343411221008079</v>
      </c>
      <c r="AD42" s="37">
        <f t="shared" si="16"/>
        <v>0.54656588778991921</v>
      </c>
      <c r="AE42" s="37">
        <f t="shared" si="17"/>
        <v>0.37135516777848965</v>
      </c>
      <c r="AF42" s="37">
        <f t="shared" si="4"/>
        <v>0.62864483222151035</v>
      </c>
      <c r="AG42" s="37">
        <v>1</v>
      </c>
      <c r="AH42" s="37">
        <f t="shared" si="18"/>
        <v>142.28541018974397</v>
      </c>
      <c r="AI42" s="37">
        <f t="shared" si="19"/>
        <v>171.50970658307978</v>
      </c>
      <c r="AJ42" s="37">
        <f t="shared" si="20"/>
        <v>240.8664146277743</v>
      </c>
      <c r="AK42" s="37">
        <f t="shared" si="21"/>
        <v>290.33846859940195</v>
      </c>
      <c r="AL42" s="2"/>
    </row>
    <row r="43" spans="2:38" x14ac:dyDescent="0.2">
      <c r="B43" s="51" t="s">
        <v>30</v>
      </c>
      <c r="C43" s="51" t="s">
        <v>84</v>
      </c>
      <c r="D43" s="51">
        <v>10</v>
      </c>
      <c r="E43" s="51" t="s">
        <v>45</v>
      </c>
      <c r="F43" s="37" t="str">
        <f t="shared" si="5"/>
        <v>6219K72</v>
      </c>
      <c r="G43" s="37" t="str">
        <f t="shared" si="6"/>
        <v>6219K73</v>
      </c>
      <c r="H43" s="37" t="str">
        <f t="shared" si="7"/>
        <v>6219K73</v>
      </c>
      <c r="I43" s="37" t="str">
        <f t="shared" si="8"/>
        <v>6219K87</v>
      </c>
      <c r="J43" s="56" t="str">
        <f t="shared" si="9"/>
        <v xml:space="preserve">Red </v>
      </c>
      <c r="K43" s="56" t="str">
        <f t="shared" si="22"/>
        <v>Black</v>
      </c>
      <c r="L43" s="56" t="str">
        <f t="shared" si="23"/>
        <v>Black</v>
      </c>
      <c r="M43" s="56" t="str">
        <f t="shared" si="24"/>
        <v>Yellow</v>
      </c>
      <c r="N43" s="56" t="str">
        <f t="shared" si="10"/>
        <v>42-082</v>
      </c>
      <c r="O43" s="56" t="str">
        <f t="shared" si="11"/>
        <v>42-083</v>
      </c>
      <c r="P43" s="56" t="str">
        <f t="shared" si="12"/>
        <v>42-083</v>
      </c>
      <c r="Q43" s="56" t="str">
        <f t="shared" si="13"/>
        <v>42-084</v>
      </c>
      <c r="R43" s="37">
        <v>128</v>
      </c>
      <c r="S43" s="37">
        <v>34.43</v>
      </c>
      <c r="T43" s="37">
        <v>10.1</v>
      </c>
      <c r="U43" s="37">
        <v>684.66</v>
      </c>
      <c r="V43" s="37">
        <v>24.51</v>
      </c>
      <c r="W43" s="37">
        <v>45.09</v>
      </c>
      <c r="X43" s="37">
        <f t="shared" si="2"/>
        <v>26.07247385130313</v>
      </c>
      <c r="Y43" s="37">
        <f t="shared" si="3"/>
        <v>39.578814510373341</v>
      </c>
      <c r="Z43" s="37">
        <v>47.95</v>
      </c>
      <c r="AA43" s="37">
        <v>65.94</v>
      </c>
      <c r="AB43" s="37">
        <f t="shared" si="14"/>
        <v>812.66</v>
      </c>
      <c r="AC43" s="37">
        <f t="shared" si="15"/>
        <v>0.45625706253799525</v>
      </c>
      <c r="AD43" s="37">
        <f t="shared" si="16"/>
        <v>0.54374293746200475</v>
      </c>
      <c r="AE43" s="37">
        <f t="shared" si="17"/>
        <v>0.39977533347932448</v>
      </c>
      <c r="AF43" s="37">
        <f t="shared" si="4"/>
        <v>0.60022466652067552</v>
      </c>
      <c r="AG43" s="37">
        <v>1</v>
      </c>
      <c r="AH43" s="37">
        <f t="shared" si="18"/>
        <v>148.22944350543708</v>
      </c>
      <c r="AI43" s="37">
        <f t="shared" si="19"/>
        <v>176.65197899987075</v>
      </c>
      <c r="AJ43" s="37">
        <f t="shared" si="20"/>
        <v>222.55242093669011</v>
      </c>
      <c r="AK43" s="37">
        <f t="shared" si="21"/>
        <v>265.22615655800206</v>
      </c>
      <c r="AL43" s="2"/>
    </row>
    <row r="44" spans="2:38" x14ac:dyDescent="0.2">
      <c r="B44" s="51" t="s">
        <v>30</v>
      </c>
      <c r="C44" s="51" t="s">
        <v>74</v>
      </c>
      <c r="D44" s="51">
        <v>15</v>
      </c>
      <c r="E44" s="51" t="s">
        <v>45</v>
      </c>
      <c r="F44" s="37" t="str">
        <f t="shared" si="5"/>
        <v>6219K73</v>
      </c>
      <c r="G44" s="37" t="str">
        <f t="shared" si="6"/>
        <v>6219K73</v>
      </c>
      <c r="H44" s="37" t="str">
        <f t="shared" si="7"/>
        <v>6219K73</v>
      </c>
      <c r="I44" s="37" t="str">
        <f t="shared" si="8"/>
        <v>6219K87</v>
      </c>
      <c r="J44" s="56" t="str">
        <f t="shared" si="9"/>
        <v>Black</v>
      </c>
      <c r="K44" s="56" t="str">
        <f t="shared" si="22"/>
        <v>Black</v>
      </c>
      <c r="L44" s="56" t="str">
        <f t="shared" si="23"/>
        <v>Black</v>
      </c>
      <c r="M44" s="56" t="str">
        <f t="shared" si="24"/>
        <v>Yellow</v>
      </c>
      <c r="N44" s="56" t="str">
        <f t="shared" si="10"/>
        <v>42-083</v>
      </c>
      <c r="O44" s="56" t="str">
        <f t="shared" si="11"/>
        <v>42-083</v>
      </c>
      <c r="P44" s="56" t="str">
        <f t="shared" si="12"/>
        <v>42-083</v>
      </c>
      <c r="Q44" s="56" t="str">
        <f t="shared" si="13"/>
        <v>42-084</v>
      </c>
      <c r="R44" s="37">
        <v>211</v>
      </c>
      <c r="S44" s="37">
        <v>34.43</v>
      </c>
      <c r="T44" s="37">
        <v>10.1</v>
      </c>
      <c r="U44" s="37">
        <v>703.7</v>
      </c>
      <c r="V44" s="37">
        <v>24.62</v>
      </c>
      <c r="W44" s="37">
        <v>47.13</v>
      </c>
      <c r="X44" s="37">
        <f t="shared" si="2"/>
        <v>26.882938668415875</v>
      </c>
      <c r="Y44" s="37">
        <f t="shared" si="3"/>
        <v>38.588040887722748</v>
      </c>
      <c r="Z44" s="37">
        <v>47.95</v>
      </c>
      <c r="AA44" s="37">
        <v>65.94</v>
      </c>
      <c r="AB44" s="37">
        <f t="shared" si="14"/>
        <v>914.7</v>
      </c>
      <c r="AC44" s="37">
        <f t="shared" si="15"/>
        <v>0.43935477229581077</v>
      </c>
      <c r="AD44" s="37">
        <f t="shared" si="16"/>
        <v>0.56064522770418923</v>
      </c>
      <c r="AE44" s="37">
        <f t="shared" si="17"/>
        <v>0.41480071447190248</v>
      </c>
      <c r="AF44" s="37">
        <f t="shared" si="4"/>
        <v>0.58519928552809752</v>
      </c>
      <c r="AG44" s="37">
        <v>1</v>
      </c>
      <c r="AH44" s="37">
        <f t="shared" si="18"/>
        <v>166.69920280923577</v>
      </c>
      <c r="AI44" s="37">
        <f t="shared" si="19"/>
        <v>212.71901071821347</v>
      </c>
      <c r="AJ44" s="37">
        <f t="shared" si="20"/>
        <v>235.17860740974237</v>
      </c>
      <c r="AK44" s="37">
        <f t="shared" si="21"/>
        <v>300.10317906280847</v>
      </c>
      <c r="AL44" s="2"/>
    </row>
    <row r="45" spans="2:38" x14ac:dyDescent="0.2">
      <c r="B45" s="51" t="s">
        <v>30</v>
      </c>
      <c r="C45" s="51" t="s">
        <v>83</v>
      </c>
      <c r="D45" s="51">
        <v>15</v>
      </c>
      <c r="E45" s="51" t="s">
        <v>45</v>
      </c>
      <c r="F45" s="37" t="str">
        <f t="shared" si="5"/>
        <v>6219K73</v>
      </c>
      <c r="G45" s="37" t="str">
        <f t="shared" si="6"/>
        <v>6219K73</v>
      </c>
      <c r="H45" s="37" t="str">
        <f t="shared" si="7"/>
        <v>6219K73</v>
      </c>
      <c r="I45" s="37" t="str">
        <f t="shared" si="8"/>
        <v>6219K87</v>
      </c>
      <c r="J45" s="56" t="str">
        <f t="shared" si="9"/>
        <v>Black</v>
      </c>
      <c r="K45" s="56" t="str">
        <f t="shared" si="22"/>
        <v>Black</v>
      </c>
      <c r="L45" s="56" t="str">
        <f t="shared" si="23"/>
        <v>Black</v>
      </c>
      <c r="M45" s="56" t="str">
        <f t="shared" si="24"/>
        <v>Yellow</v>
      </c>
      <c r="N45" s="56" t="str">
        <f t="shared" si="10"/>
        <v>42-083</v>
      </c>
      <c r="O45" s="56" t="str">
        <f t="shared" si="11"/>
        <v>42-083</v>
      </c>
      <c r="P45" s="56" t="str">
        <f t="shared" si="12"/>
        <v>42-083</v>
      </c>
      <c r="Q45" s="56" t="str">
        <f t="shared" si="13"/>
        <v>42-084</v>
      </c>
      <c r="R45" s="37">
        <v>211</v>
      </c>
      <c r="S45" s="37">
        <v>34.43</v>
      </c>
      <c r="T45" s="37">
        <v>10.1</v>
      </c>
      <c r="U45" s="37">
        <v>717</v>
      </c>
      <c r="V45" s="37">
        <v>24.74</v>
      </c>
      <c r="W45" s="37">
        <v>47.05</v>
      </c>
      <c r="X45" s="37">
        <f t="shared" si="2"/>
        <v>26.943221982758619</v>
      </c>
      <c r="Y45" s="37">
        <f t="shared" si="3"/>
        <v>38.648653017241379</v>
      </c>
      <c r="Z45" s="37">
        <v>47.95</v>
      </c>
      <c r="AA45" s="37">
        <v>65.94</v>
      </c>
      <c r="AB45" s="37">
        <f t="shared" si="14"/>
        <v>928</v>
      </c>
      <c r="AC45" s="37">
        <f t="shared" si="15"/>
        <v>0.43809756031785996</v>
      </c>
      <c r="AD45" s="37">
        <f t="shared" si="16"/>
        <v>0.56190243968214004</v>
      </c>
      <c r="AE45" s="37">
        <f t="shared" si="17"/>
        <v>0.41388151323564781</v>
      </c>
      <c r="AF45" s="37">
        <f t="shared" si="4"/>
        <v>0.58611848676435219</v>
      </c>
      <c r="AG45" s="37">
        <v>1</v>
      </c>
      <c r="AH45" s="37">
        <f t="shared" si="18"/>
        <v>168.26540656213888</v>
      </c>
      <c r="AI45" s="37">
        <f t="shared" si="19"/>
        <v>215.81663772054233</v>
      </c>
      <c r="AJ45" s="37">
        <f t="shared" si="20"/>
        <v>238.28912941283517</v>
      </c>
      <c r="AK45" s="37">
        <f t="shared" si="21"/>
        <v>305.62882630448371</v>
      </c>
      <c r="AL45" s="2"/>
    </row>
    <row r="46" spans="2:38" x14ac:dyDescent="0.2">
      <c r="B46" s="51" t="s">
        <v>30</v>
      </c>
      <c r="C46" s="51" t="s">
        <v>84</v>
      </c>
      <c r="D46" s="51">
        <v>15</v>
      </c>
      <c r="E46" s="51" t="s">
        <v>45</v>
      </c>
      <c r="F46" s="37" t="str">
        <f t="shared" si="5"/>
        <v>6219K73</v>
      </c>
      <c r="G46" s="37" t="str">
        <f t="shared" si="6"/>
        <v>6219K73</v>
      </c>
      <c r="H46" s="37" t="str">
        <f t="shared" si="7"/>
        <v>6219K73</v>
      </c>
      <c r="I46" s="37" t="str">
        <f t="shared" si="8"/>
        <v>6219K87</v>
      </c>
      <c r="J46" s="56" t="str">
        <f t="shared" si="9"/>
        <v>Black</v>
      </c>
      <c r="K46" s="56" t="str">
        <f t="shared" si="22"/>
        <v>Black</v>
      </c>
      <c r="L46" s="56" t="str">
        <f t="shared" si="23"/>
        <v>Black</v>
      </c>
      <c r="M46" s="56" t="str">
        <f t="shared" si="24"/>
        <v>Yellow</v>
      </c>
      <c r="N46" s="56" t="str">
        <f t="shared" si="10"/>
        <v>42-083</v>
      </c>
      <c r="O46" s="56" t="str">
        <f t="shared" si="11"/>
        <v>42-083</v>
      </c>
      <c r="P46" s="56" t="str">
        <f t="shared" si="12"/>
        <v>42-083</v>
      </c>
      <c r="Q46" s="56" t="str">
        <f t="shared" si="13"/>
        <v>42-084</v>
      </c>
      <c r="R46" s="37">
        <v>211</v>
      </c>
      <c r="S46" s="37">
        <v>34.43</v>
      </c>
      <c r="T46" s="37">
        <v>10.1</v>
      </c>
      <c r="U46" s="37">
        <v>684.66</v>
      </c>
      <c r="V46" s="37">
        <v>24.51</v>
      </c>
      <c r="W46" s="37">
        <v>45.09</v>
      </c>
      <c r="X46" s="37">
        <f t="shared" si="2"/>
        <v>26.846958220753411</v>
      </c>
      <c r="Y46" s="37">
        <f t="shared" si="3"/>
        <v>36.847039501596591</v>
      </c>
      <c r="Z46" s="37">
        <v>47.95</v>
      </c>
      <c r="AA46" s="37">
        <v>65.94</v>
      </c>
      <c r="AB46" s="37">
        <f t="shared" si="14"/>
        <v>895.66</v>
      </c>
      <c r="AC46" s="37">
        <f t="shared" si="15"/>
        <v>0.44010514659534083</v>
      </c>
      <c r="AD46" s="37">
        <f t="shared" si="16"/>
        <v>0.55989485340465917</v>
      </c>
      <c r="AE46" s="37">
        <f t="shared" si="17"/>
        <v>0.44120352590845324</v>
      </c>
      <c r="AF46" s="37">
        <f t="shared" si="4"/>
        <v>0.55879647409154676</v>
      </c>
      <c r="AG46" s="37">
        <v>1</v>
      </c>
      <c r="AH46" s="37">
        <f t="shared" si="18"/>
        <v>173.91562461326325</v>
      </c>
      <c r="AI46" s="37">
        <f t="shared" si="19"/>
        <v>221.25272540190198</v>
      </c>
      <c r="AJ46" s="37">
        <f t="shared" si="20"/>
        <v>220.26895098631971</v>
      </c>
      <c r="AK46" s="37">
        <f t="shared" si="21"/>
        <v>280.22269899851506</v>
      </c>
      <c r="AL46" s="2"/>
    </row>
    <row r="47" spans="2:38" x14ac:dyDescent="0.2">
      <c r="B47" s="51" t="s">
        <v>30</v>
      </c>
      <c r="C47" s="51" t="s">
        <v>74</v>
      </c>
      <c r="D47" s="51">
        <v>20</v>
      </c>
      <c r="E47" s="51" t="s">
        <v>45</v>
      </c>
      <c r="F47" s="37" t="str">
        <f t="shared" si="5"/>
        <v>6219K73</v>
      </c>
      <c r="G47" s="37" t="str">
        <f t="shared" si="6"/>
        <v>6219K73</v>
      </c>
      <c r="H47" s="37" t="str">
        <f t="shared" si="7"/>
        <v>6219K73</v>
      </c>
      <c r="I47" s="37" t="str">
        <f t="shared" si="8"/>
        <v>6219K87</v>
      </c>
      <c r="J47" s="56" t="str">
        <f t="shared" si="9"/>
        <v>Black</v>
      </c>
      <c r="K47" s="56" t="str">
        <f t="shared" si="22"/>
        <v>Black</v>
      </c>
      <c r="L47" s="56" t="str">
        <f t="shared" si="23"/>
        <v>Black</v>
      </c>
      <c r="M47" s="56" t="str">
        <f t="shared" si="24"/>
        <v>Yellow</v>
      </c>
      <c r="N47" s="56" t="str">
        <f t="shared" si="10"/>
        <v>42-083</v>
      </c>
      <c r="O47" s="56" t="str">
        <f t="shared" si="11"/>
        <v>42-083</v>
      </c>
      <c r="P47" s="56" t="str">
        <f t="shared" si="12"/>
        <v>42-083</v>
      </c>
      <c r="Q47" s="56" t="str">
        <f t="shared" si="13"/>
        <v>42-084</v>
      </c>
      <c r="R47" s="37">
        <v>225</v>
      </c>
      <c r="S47" s="37">
        <v>34.43</v>
      </c>
      <c r="T47" s="37">
        <v>10.1</v>
      </c>
      <c r="U47" s="37">
        <v>703.7</v>
      </c>
      <c r="V47" s="37">
        <v>24.62</v>
      </c>
      <c r="W47" s="37">
        <v>47.13</v>
      </c>
      <c r="X47" s="37">
        <f t="shared" si="2"/>
        <v>26.996709378701411</v>
      </c>
      <c r="Y47" s="37">
        <f t="shared" si="3"/>
        <v>38.158588349305482</v>
      </c>
      <c r="Z47" s="37">
        <v>47.95</v>
      </c>
      <c r="AA47" s="37">
        <v>65.94</v>
      </c>
      <c r="AB47" s="37">
        <f t="shared" si="14"/>
        <v>928.7</v>
      </c>
      <c r="AC47" s="37">
        <f t="shared" si="15"/>
        <v>0.43698207760789554</v>
      </c>
      <c r="AD47" s="37">
        <f t="shared" si="16"/>
        <v>0.56301792239210446</v>
      </c>
      <c r="AE47" s="37">
        <f t="shared" si="17"/>
        <v>0.42131349182126954</v>
      </c>
      <c r="AF47" s="37">
        <f t="shared" si="4"/>
        <v>0.57868650817873046</v>
      </c>
      <c r="AG47" s="37">
        <v>1</v>
      </c>
      <c r="AH47" s="37">
        <f t="shared" si="18"/>
        <v>170.97965545320039</v>
      </c>
      <c r="AI47" s="37">
        <f t="shared" si="19"/>
        <v>220.29418440121262</v>
      </c>
      <c r="AJ47" s="37">
        <f t="shared" si="20"/>
        <v>234.84560002125221</v>
      </c>
      <c r="AK47" s="37">
        <f t="shared" si="21"/>
        <v>302.5805601243348</v>
      </c>
      <c r="AL47" s="2"/>
    </row>
    <row r="48" spans="2:38" x14ac:dyDescent="0.2">
      <c r="B48" s="51" t="s">
        <v>30</v>
      </c>
      <c r="C48" s="51" t="s">
        <v>83</v>
      </c>
      <c r="D48" s="51">
        <v>20</v>
      </c>
      <c r="E48" s="51" t="s">
        <v>45</v>
      </c>
      <c r="F48" s="37" t="str">
        <f t="shared" si="5"/>
        <v>6219K73</v>
      </c>
      <c r="G48" s="37" t="str">
        <f t="shared" si="6"/>
        <v>6219K73</v>
      </c>
      <c r="H48" s="37" t="str">
        <f t="shared" si="7"/>
        <v>6219K73</v>
      </c>
      <c r="I48" s="37" t="str">
        <f t="shared" si="8"/>
        <v>6219K87</v>
      </c>
      <c r="J48" s="56" t="str">
        <f t="shared" si="9"/>
        <v>Black</v>
      </c>
      <c r="K48" s="56" t="str">
        <f t="shared" si="22"/>
        <v>Black</v>
      </c>
      <c r="L48" s="56" t="str">
        <f t="shared" si="23"/>
        <v>Black</v>
      </c>
      <c r="M48" s="56" t="str">
        <f t="shared" si="24"/>
        <v>Yellow</v>
      </c>
      <c r="N48" s="56" t="str">
        <f t="shared" si="10"/>
        <v>42-083</v>
      </c>
      <c r="O48" s="56" t="str">
        <f t="shared" si="11"/>
        <v>42-083</v>
      </c>
      <c r="P48" s="56" t="str">
        <f t="shared" si="12"/>
        <v>42-083</v>
      </c>
      <c r="Q48" s="56" t="str">
        <f t="shared" si="13"/>
        <v>42-084</v>
      </c>
      <c r="R48" s="37">
        <v>225</v>
      </c>
      <c r="S48" s="37">
        <v>34.43</v>
      </c>
      <c r="T48" s="37">
        <v>10.1</v>
      </c>
      <c r="U48" s="37">
        <v>717</v>
      </c>
      <c r="V48" s="37">
        <v>24.74</v>
      </c>
      <c r="W48" s="37">
        <v>47.05</v>
      </c>
      <c r="X48" s="37">
        <f t="shared" si="2"/>
        <v>27.054490445859869</v>
      </c>
      <c r="Y48" s="37">
        <f t="shared" si="3"/>
        <v>38.224363057324837</v>
      </c>
      <c r="Z48" s="37">
        <v>47.95</v>
      </c>
      <c r="AA48" s="37">
        <v>65.94</v>
      </c>
      <c r="AB48" s="37">
        <f t="shared" si="14"/>
        <v>942</v>
      </c>
      <c r="AC48" s="37">
        <f t="shared" si="15"/>
        <v>0.43577705013848034</v>
      </c>
      <c r="AD48" s="37">
        <f t="shared" si="16"/>
        <v>0.56422294986151966</v>
      </c>
      <c r="AE48" s="37">
        <f t="shared" si="17"/>
        <v>0.42031599852403945</v>
      </c>
      <c r="AF48" s="37">
        <f t="shared" si="4"/>
        <v>0.57968400147596055</v>
      </c>
      <c r="AG48" s="37">
        <v>1</v>
      </c>
      <c r="AH48" s="37">
        <f t="shared" si="18"/>
        <v>172.54055013697243</v>
      </c>
      <c r="AI48" s="37">
        <f t="shared" si="19"/>
        <v>223.39712047267273</v>
      </c>
      <c r="AJ48" s="37">
        <f t="shared" si="20"/>
        <v>237.96143109347602</v>
      </c>
      <c r="AK48" s="37">
        <f t="shared" si="21"/>
        <v>308.10089829687882</v>
      </c>
      <c r="AL48" s="2"/>
    </row>
    <row r="49" spans="2:38" x14ac:dyDescent="0.2">
      <c r="B49" s="51" t="s">
        <v>30</v>
      </c>
      <c r="C49" s="51" t="s">
        <v>84</v>
      </c>
      <c r="D49" s="51">
        <v>20</v>
      </c>
      <c r="E49" s="51" t="s">
        <v>45</v>
      </c>
      <c r="F49" s="37" t="str">
        <f t="shared" si="5"/>
        <v>6219K73</v>
      </c>
      <c r="G49" s="37" t="str">
        <f t="shared" si="6"/>
        <v>6219K73</v>
      </c>
      <c r="H49" s="37" t="str">
        <f t="shared" si="7"/>
        <v>6219K73</v>
      </c>
      <c r="I49" s="37" t="str">
        <f t="shared" si="8"/>
        <v>6219K87</v>
      </c>
      <c r="J49" s="56" t="str">
        <f t="shared" si="9"/>
        <v>Black</v>
      </c>
      <c r="K49" s="56" t="str">
        <f t="shared" si="22"/>
        <v>Black</v>
      </c>
      <c r="L49" s="56" t="str">
        <f t="shared" si="23"/>
        <v>Black</v>
      </c>
      <c r="M49" s="56" t="str">
        <f t="shared" si="24"/>
        <v>Yellow</v>
      </c>
      <c r="N49" s="56" t="str">
        <f t="shared" si="10"/>
        <v>42-083</v>
      </c>
      <c r="O49" s="56" t="str">
        <f t="shared" si="11"/>
        <v>42-083</v>
      </c>
      <c r="P49" s="56" t="str">
        <f t="shared" si="12"/>
        <v>42-083</v>
      </c>
      <c r="Q49" s="56" t="str">
        <f t="shared" si="13"/>
        <v>42-084</v>
      </c>
      <c r="R49" s="37">
        <v>225</v>
      </c>
      <c r="S49" s="37">
        <v>34.43</v>
      </c>
      <c r="T49" s="37">
        <v>10.1</v>
      </c>
      <c r="U49" s="37">
        <v>684.66</v>
      </c>
      <c r="V49" s="37">
        <v>24.51</v>
      </c>
      <c r="W49" s="37">
        <v>45.09</v>
      </c>
      <c r="X49" s="37">
        <f t="shared" si="2"/>
        <v>26.963664006332035</v>
      </c>
      <c r="Y49" s="37">
        <f t="shared" si="3"/>
        <v>36.435392784117141</v>
      </c>
      <c r="Z49" s="37">
        <v>47.95</v>
      </c>
      <c r="AA49" s="37">
        <v>65.94</v>
      </c>
      <c r="AB49" s="37">
        <f t="shared" si="14"/>
        <v>909.66</v>
      </c>
      <c r="AC49" s="37">
        <f t="shared" si="15"/>
        <v>0.43767124074385744</v>
      </c>
      <c r="AD49" s="37">
        <f t="shared" si="16"/>
        <v>0.56232875925614256</v>
      </c>
      <c r="AE49" s="37">
        <f t="shared" si="17"/>
        <v>0.4474462726096885</v>
      </c>
      <c r="AF49" s="37">
        <f t="shared" si="4"/>
        <v>0.5525537273903115</v>
      </c>
      <c r="AG49" s="37">
        <v>1</v>
      </c>
      <c r="AH49" s="37">
        <f t="shared" si="18"/>
        <v>178.14268873815817</v>
      </c>
      <c r="AI49" s="37">
        <f t="shared" si="19"/>
        <v>228.88128760397103</v>
      </c>
      <c r="AJ49" s="37">
        <f t="shared" si="20"/>
        <v>219.98933211689919</v>
      </c>
      <c r="AK49" s="37">
        <f t="shared" si="21"/>
        <v>282.64669154097157</v>
      </c>
      <c r="AL49" s="2"/>
    </row>
    <row r="50" spans="2:38" x14ac:dyDescent="0.2">
      <c r="B50" s="51" t="s">
        <v>30</v>
      </c>
      <c r="C50" s="51" t="s">
        <v>74</v>
      </c>
      <c r="D50" s="51">
        <v>25</v>
      </c>
      <c r="E50" s="51" t="s">
        <v>45</v>
      </c>
      <c r="F50" s="37" t="str">
        <f t="shared" si="5"/>
        <v>6219K73</v>
      </c>
      <c r="G50" s="37" t="str">
        <f t="shared" si="6"/>
        <v>6219K87</v>
      </c>
      <c r="H50" s="37" t="str">
        <f t="shared" si="7"/>
        <v>6219K73</v>
      </c>
      <c r="I50" s="37" t="str">
        <f t="shared" si="8"/>
        <v>6219K87</v>
      </c>
      <c r="J50" s="56" t="str">
        <f t="shared" si="9"/>
        <v>Black</v>
      </c>
      <c r="K50" s="56" t="str">
        <f t="shared" si="22"/>
        <v>Yellow</v>
      </c>
      <c r="L50" s="56" t="str">
        <f t="shared" si="23"/>
        <v>Black</v>
      </c>
      <c r="M50" s="56" t="str">
        <f t="shared" si="24"/>
        <v>Yellow</v>
      </c>
      <c r="N50" s="56" t="str">
        <f t="shared" si="10"/>
        <v>42-083</v>
      </c>
      <c r="O50" s="56" t="str">
        <f t="shared" si="11"/>
        <v>42-084</v>
      </c>
      <c r="P50" s="56" t="str">
        <f t="shared" si="12"/>
        <v>42-083</v>
      </c>
      <c r="Q50" s="56" t="str">
        <f t="shared" si="13"/>
        <v>42-084</v>
      </c>
      <c r="R50" s="37">
        <v>327</v>
      </c>
      <c r="S50" s="37">
        <v>34.43</v>
      </c>
      <c r="T50" s="37">
        <v>10.1</v>
      </c>
      <c r="U50" s="37">
        <v>703.7</v>
      </c>
      <c r="V50" s="37">
        <v>24.62</v>
      </c>
      <c r="W50" s="37">
        <v>47.13</v>
      </c>
      <c r="X50" s="37">
        <f t="shared" si="2"/>
        <v>27.732321723100807</v>
      </c>
      <c r="Y50" s="37">
        <f t="shared" si="3"/>
        <v>35.381857960609288</v>
      </c>
      <c r="Z50" s="37">
        <v>47.95</v>
      </c>
      <c r="AA50" s="37">
        <v>65.94</v>
      </c>
      <c r="AB50" s="37">
        <f t="shared" si="14"/>
        <v>1030.7</v>
      </c>
      <c r="AC50" s="37">
        <f t="shared" si="15"/>
        <v>0.4216408399770426</v>
      </c>
      <c r="AD50" s="37">
        <f t="shared" si="16"/>
        <v>0.5783591600229574</v>
      </c>
      <c r="AE50" s="37">
        <f t="shared" si="17"/>
        <v>0.4634234461539386</v>
      </c>
      <c r="AF50" s="37">
        <f t="shared" si="4"/>
        <v>0.5365765538460614</v>
      </c>
      <c r="AG50" s="37">
        <v>1</v>
      </c>
      <c r="AH50" s="37">
        <f t="shared" si="18"/>
        <v>201.3969774102155</v>
      </c>
      <c r="AI50" s="37">
        <f t="shared" si="19"/>
        <v>276.25356854064904</v>
      </c>
      <c r="AJ50" s="37">
        <f t="shared" si="20"/>
        <v>233.18823635412232</v>
      </c>
      <c r="AK50" s="37">
        <f t="shared" si="21"/>
        <v>319.86121769501318</v>
      </c>
      <c r="AL50" s="2"/>
    </row>
    <row r="51" spans="2:38" x14ac:dyDescent="0.2">
      <c r="B51" s="51" t="s">
        <v>30</v>
      </c>
      <c r="C51" s="51" t="s">
        <v>83</v>
      </c>
      <c r="D51" s="51">
        <v>25</v>
      </c>
      <c r="E51" s="51" t="s">
        <v>45</v>
      </c>
      <c r="F51" s="37" t="str">
        <f t="shared" si="5"/>
        <v>6219K73</v>
      </c>
      <c r="G51" s="37" t="str">
        <f t="shared" si="6"/>
        <v>6219K87</v>
      </c>
      <c r="H51" s="37" t="str">
        <f t="shared" si="7"/>
        <v>6219K73</v>
      </c>
      <c r="I51" s="37" t="str">
        <f t="shared" si="8"/>
        <v>6219K87</v>
      </c>
      <c r="J51" s="56" t="str">
        <f t="shared" si="9"/>
        <v>Black</v>
      </c>
      <c r="K51" s="56" t="str">
        <f t="shared" si="22"/>
        <v>Yellow</v>
      </c>
      <c r="L51" s="56" t="str">
        <f t="shared" si="23"/>
        <v>Black</v>
      </c>
      <c r="M51" s="56" t="str">
        <f t="shared" si="24"/>
        <v>Yellow</v>
      </c>
      <c r="N51" s="56" t="str">
        <f t="shared" si="10"/>
        <v>42-083</v>
      </c>
      <c r="O51" s="56" t="str">
        <f t="shared" si="11"/>
        <v>42-084</v>
      </c>
      <c r="P51" s="56" t="str">
        <f t="shared" si="12"/>
        <v>42-083</v>
      </c>
      <c r="Q51" s="56" t="str">
        <f t="shared" si="13"/>
        <v>42-084</v>
      </c>
      <c r="R51" s="37">
        <v>327</v>
      </c>
      <c r="S51" s="37">
        <v>34.43</v>
      </c>
      <c r="T51" s="37">
        <v>10.1</v>
      </c>
      <c r="U51" s="37">
        <v>717</v>
      </c>
      <c r="V51" s="37">
        <v>24.74</v>
      </c>
      <c r="W51" s="37">
        <v>47.05</v>
      </c>
      <c r="X51" s="37">
        <f t="shared" si="2"/>
        <v>27.77508620689655</v>
      </c>
      <c r="Y51" s="37">
        <f t="shared" si="3"/>
        <v>35.476580459770112</v>
      </c>
      <c r="Z51" s="37">
        <v>47.95</v>
      </c>
      <c r="AA51" s="37">
        <v>65.94</v>
      </c>
      <c r="AB51" s="37">
        <f t="shared" si="14"/>
        <v>1044</v>
      </c>
      <c r="AC51" s="37">
        <f t="shared" si="15"/>
        <v>0.42074898421487905</v>
      </c>
      <c r="AD51" s="37">
        <f t="shared" si="16"/>
        <v>0.57925101578512095</v>
      </c>
      <c r="AE51" s="37">
        <f t="shared" si="17"/>
        <v>0.46198695086790853</v>
      </c>
      <c r="AF51" s="37">
        <f t="shared" si="4"/>
        <v>0.53801304913209147</v>
      </c>
      <c r="AG51" s="37">
        <v>1</v>
      </c>
      <c r="AH51" s="37">
        <f t="shared" si="18"/>
        <v>202.93328407132262</v>
      </c>
      <c r="AI51" s="37">
        <f t="shared" si="19"/>
        <v>279.38109263477389</v>
      </c>
      <c r="AJ51" s="37">
        <f t="shared" si="20"/>
        <v>236.32865544901111</v>
      </c>
      <c r="AK51" s="37">
        <f t="shared" si="21"/>
        <v>325.35696784489238</v>
      </c>
      <c r="AL51" s="2"/>
    </row>
    <row r="52" spans="2:38" x14ac:dyDescent="0.2">
      <c r="B52" s="51" t="s">
        <v>30</v>
      </c>
      <c r="C52" s="51" t="s">
        <v>84</v>
      </c>
      <c r="D52" s="51">
        <v>25</v>
      </c>
      <c r="E52" s="51" t="s">
        <v>45</v>
      </c>
      <c r="F52" s="37" t="str">
        <f t="shared" si="5"/>
        <v>6219K73</v>
      </c>
      <c r="G52" s="37" t="str">
        <f t="shared" si="6"/>
        <v>6219K87</v>
      </c>
      <c r="H52" s="37" t="str">
        <f t="shared" si="7"/>
        <v>6219K73</v>
      </c>
      <c r="I52" s="37" t="str">
        <f t="shared" si="8"/>
        <v>6219K87</v>
      </c>
      <c r="J52" s="56" t="str">
        <f t="shared" si="9"/>
        <v>Black</v>
      </c>
      <c r="K52" s="56" t="str">
        <f t="shared" si="22"/>
        <v>Yellow</v>
      </c>
      <c r="L52" s="56" t="str">
        <f t="shared" si="23"/>
        <v>Black</v>
      </c>
      <c r="M52" s="56" t="str">
        <f t="shared" si="24"/>
        <v>Yellow</v>
      </c>
      <c r="N52" s="56" t="str">
        <f t="shared" si="10"/>
        <v>42-083</v>
      </c>
      <c r="O52" s="56" t="str">
        <f t="shared" si="11"/>
        <v>42-084</v>
      </c>
      <c r="P52" s="56" t="str">
        <f t="shared" si="12"/>
        <v>42-083</v>
      </c>
      <c r="Q52" s="56" t="str">
        <f t="shared" si="13"/>
        <v>42-084</v>
      </c>
      <c r="R52" s="37">
        <v>327</v>
      </c>
      <c r="S52" s="37">
        <v>34.43</v>
      </c>
      <c r="T52" s="37">
        <v>10.1</v>
      </c>
      <c r="U52" s="37">
        <v>684.66</v>
      </c>
      <c r="V52" s="37">
        <v>24.51</v>
      </c>
      <c r="W52" s="37">
        <v>45.09</v>
      </c>
      <c r="X52" s="37">
        <f t="shared" si="2"/>
        <v>27.716452760808966</v>
      </c>
      <c r="Y52" s="37">
        <f t="shared" si="3"/>
        <v>33.780142933396597</v>
      </c>
      <c r="Z52" s="37">
        <v>47.95</v>
      </c>
      <c r="AA52" s="37">
        <v>65.94</v>
      </c>
      <c r="AB52" s="37">
        <f t="shared" si="14"/>
        <v>1011.66</v>
      </c>
      <c r="AC52" s="37">
        <f t="shared" si="15"/>
        <v>0.42197178809574631</v>
      </c>
      <c r="AD52" s="37">
        <f t="shared" si="16"/>
        <v>0.57802821190425369</v>
      </c>
      <c r="AE52" s="37">
        <f t="shared" si="17"/>
        <v>0.48771393792240525</v>
      </c>
      <c r="AF52" s="37">
        <f t="shared" si="4"/>
        <v>0.51228606207759475</v>
      </c>
      <c r="AG52" s="37">
        <v>1</v>
      </c>
      <c r="AH52" s="37">
        <f t="shared" si="18"/>
        <v>208.20116821626931</v>
      </c>
      <c r="AI52" s="37">
        <f t="shared" si="19"/>
        <v>285.19951422231117</v>
      </c>
      <c r="AJ52" s="37">
        <f t="shared" si="20"/>
        <v>218.69081092867339</v>
      </c>
      <c r="AK52" s="37">
        <f t="shared" si="21"/>
        <v>299.56850663274605</v>
      </c>
      <c r="AL52" s="2"/>
    </row>
    <row r="53" spans="2:38" x14ac:dyDescent="0.2">
      <c r="B53" s="51" t="s">
        <v>31</v>
      </c>
      <c r="C53" s="51" t="s">
        <v>74</v>
      </c>
      <c r="D53" s="51">
        <v>15</v>
      </c>
      <c r="E53" s="51" t="s">
        <v>45</v>
      </c>
      <c r="F53" s="37" t="str">
        <f t="shared" si="5"/>
        <v>6219K73</v>
      </c>
      <c r="G53" s="37" t="str">
        <f t="shared" si="6"/>
        <v>6219K73</v>
      </c>
      <c r="H53" s="37" t="str">
        <f t="shared" si="7"/>
        <v>6219K87</v>
      </c>
      <c r="I53" s="37" t="str">
        <f t="shared" si="8"/>
        <v>6219K87</v>
      </c>
      <c r="J53" s="56" t="str">
        <f t="shared" si="9"/>
        <v>Black</v>
      </c>
      <c r="K53" s="56" t="str">
        <f t="shared" si="22"/>
        <v>Black</v>
      </c>
      <c r="L53" s="56" t="str">
        <f t="shared" si="23"/>
        <v>Yellow</v>
      </c>
      <c r="M53" s="56" t="str">
        <f t="shared" si="24"/>
        <v>Yellow</v>
      </c>
      <c r="N53" s="56" t="str">
        <f t="shared" si="10"/>
        <v>42-083</v>
      </c>
      <c r="O53" s="56" t="str">
        <f t="shared" si="11"/>
        <v>42-083</v>
      </c>
      <c r="P53" s="56" t="str">
        <f t="shared" si="12"/>
        <v>42-084</v>
      </c>
      <c r="Q53" s="56" t="str">
        <f t="shared" si="13"/>
        <v>42-084</v>
      </c>
      <c r="R53" s="37">
        <v>211</v>
      </c>
      <c r="S53" s="37">
        <v>40.68</v>
      </c>
      <c r="T53" s="37">
        <v>15.33</v>
      </c>
      <c r="U53" s="37">
        <v>807.95</v>
      </c>
      <c r="V53" s="37">
        <v>28.187999999999999</v>
      </c>
      <c r="W53" s="37">
        <v>49.87</v>
      </c>
      <c r="X53" s="37">
        <f t="shared" si="2"/>
        <v>30.774792286176947</v>
      </c>
      <c r="Y53" s="37">
        <f t="shared" si="3"/>
        <v>42.717598017567099</v>
      </c>
      <c r="Z53" s="37">
        <v>54.04</v>
      </c>
      <c r="AA53" s="37">
        <v>72.180000000000007</v>
      </c>
      <c r="AB53" s="37">
        <f t="shared" si="14"/>
        <v>1018.95</v>
      </c>
      <c r="AC53" s="37">
        <f t="shared" si="15"/>
        <v>0.43051827745786553</v>
      </c>
      <c r="AD53" s="37">
        <f t="shared" si="16"/>
        <v>0.56948172254213447</v>
      </c>
      <c r="AE53" s="37">
        <f t="shared" si="17"/>
        <v>0.40817957858732201</v>
      </c>
      <c r="AF53" s="37">
        <f t="shared" si="4"/>
        <v>0.59182042141267799</v>
      </c>
      <c r="AG53" s="37">
        <v>1</v>
      </c>
      <c r="AH53" s="37">
        <f t="shared" si="18"/>
        <v>179.05882924070892</v>
      </c>
      <c r="AI53" s="37">
        <f t="shared" si="19"/>
        <v>236.85575236084287</v>
      </c>
      <c r="AJ53" s="37">
        <f t="shared" si="20"/>
        <v>259.61776957498319</v>
      </c>
      <c r="AK53" s="37">
        <f t="shared" si="21"/>
        <v>343.41764882346513</v>
      </c>
      <c r="AL53" s="2"/>
    </row>
    <row r="54" spans="2:38" x14ac:dyDescent="0.2">
      <c r="B54" s="51" t="s">
        <v>31</v>
      </c>
      <c r="C54" s="51" t="s">
        <v>83</v>
      </c>
      <c r="D54" s="51">
        <v>15</v>
      </c>
      <c r="E54" s="51" t="s">
        <v>45</v>
      </c>
      <c r="F54" s="37" t="str">
        <f t="shared" si="5"/>
        <v>6219K73</v>
      </c>
      <c r="G54" s="37" t="str">
        <f t="shared" si="6"/>
        <v>6219K73</v>
      </c>
      <c r="H54" s="37" t="str">
        <f t="shared" si="7"/>
        <v>6219K73</v>
      </c>
      <c r="I54" s="37" t="str">
        <f t="shared" si="8"/>
        <v>6219K87</v>
      </c>
      <c r="J54" s="56" t="str">
        <f t="shared" si="9"/>
        <v>Black</v>
      </c>
      <c r="K54" s="56" t="str">
        <f t="shared" si="22"/>
        <v>Black</v>
      </c>
      <c r="L54" s="56" t="str">
        <f t="shared" si="23"/>
        <v>Black</v>
      </c>
      <c r="M54" s="56" t="str">
        <f t="shared" si="24"/>
        <v>Yellow</v>
      </c>
      <c r="N54" s="56" t="str">
        <f t="shared" si="10"/>
        <v>42-083</v>
      </c>
      <c r="O54" s="56" t="str">
        <f t="shared" si="11"/>
        <v>42-083</v>
      </c>
      <c r="P54" s="56" t="str">
        <f t="shared" si="12"/>
        <v>42-083</v>
      </c>
      <c r="Q54" s="56" t="str">
        <f t="shared" si="13"/>
        <v>42-084</v>
      </c>
      <c r="R54" s="37">
        <v>211</v>
      </c>
      <c r="S54" s="37">
        <v>40.68</v>
      </c>
      <c r="T54" s="37">
        <v>15.33</v>
      </c>
      <c r="U54" s="37">
        <v>766.1</v>
      </c>
      <c r="V54" s="37">
        <v>28.09</v>
      </c>
      <c r="W54" s="37">
        <v>49.27</v>
      </c>
      <c r="X54" s="37">
        <f t="shared" si="2"/>
        <v>30.80874936035206</v>
      </c>
      <c r="Y54" s="37">
        <f t="shared" si="3"/>
        <v>41.940821819670454</v>
      </c>
      <c r="Z54" s="37">
        <v>54.04</v>
      </c>
      <c r="AA54" s="37">
        <v>72.180000000000007</v>
      </c>
      <c r="AB54" s="37">
        <f t="shared" si="14"/>
        <v>977.1</v>
      </c>
      <c r="AC54" s="37">
        <f t="shared" si="15"/>
        <v>0.42988990820962136</v>
      </c>
      <c r="AD54" s="37">
        <f t="shared" si="16"/>
        <v>0.57011009179037864</v>
      </c>
      <c r="AE54" s="37">
        <f t="shared" si="17"/>
        <v>0.41894123275602035</v>
      </c>
      <c r="AF54" s="37">
        <f t="shared" si="4"/>
        <v>0.58105876724397965</v>
      </c>
      <c r="AG54" s="37">
        <v>1</v>
      </c>
      <c r="AH54" s="37">
        <f t="shared" si="18"/>
        <v>175.97434996934231</v>
      </c>
      <c r="AI54" s="37">
        <f t="shared" si="19"/>
        <v>233.37312855656515</v>
      </c>
      <c r="AJ54" s="37">
        <f t="shared" si="20"/>
        <v>244.07107934227872</v>
      </c>
      <c r="AK54" s="37">
        <f t="shared" si="21"/>
        <v>323.68144213181375</v>
      </c>
      <c r="AL54" s="2"/>
    </row>
    <row r="55" spans="2:38" x14ac:dyDescent="0.2">
      <c r="B55" s="51" t="s">
        <v>31</v>
      </c>
      <c r="C55" s="51" t="s">
        <v>84</v>
      </c>
      <c r="D55" s="51">
        <v>15</v>
      </c>
      <c r="E55" s="51" t="s">
        <v>45</v>
      </c>
      <c r="F55" s="37" t="str">
        <f t="shared" si="5"/>
        <v>6219K73</v>
      </c>
      <c r="G55" s="37" t="str">
        <f t="shared" si="6"/>
        <v>6219K73</v>
      </c>
      <c r="H55" s="37" t="str">
        <f t="shared" si="7"/>
        <v>6219K73</v>
      </c>
      <c r="I55" s="37" t="str">
        <f t="shared" si="8"/>
        <v>6219K87</v>
      </c>
      <c r="J55" s="56" t="str">
        <f t="shared" si="9"/>
        <v>Black</v>
      </c>
      <c r="K55" s="56" t="str">
        <f t="shared" si="22"/>
        <v>Black</v>
      </c>
      <c r="L55" s="56" t="str">
        <f t="shared" si="23"/>
        <v>Black</v>
      </c>
      <c r="M55" s="56" t="str">
        <f t="shared" si="24"/>
        <v>Yellow</v>
      </c>
      <c r="N55" s="56" t="str">
        <f t="shared" si="10"/>
        <v>42-083</v>
      </c>
      <c r="O55" s="56" t="str">
        <f t="shared" si="11"/>
        <v>42-083</v>
      </c>
      <c r="P55" s="56" t="str">
        <f t="shared" si="12"/>
        <v>42-083</v>
      </c>
      <c r="Q55" s="56" t="str">
        <f t="shared" si="13"/>
        <v>42-084</v>
      </c>
      <c r="R55" s="37">
        <v>211</v>
      </c>
      <c r="S55" s="37">
        <v>40.68</v>
      </c>
      <c r="T55" s="37">
        <v>15.33</v>
      </c>
      <c r="U55" s="37">
        <v>668.35</v>
      </c>
      <c r="V55" s="37">
        <v>27.72</v>
      </c>
      <c r="W55" s="37">
        <v>47.05</v>
      </c>
      <c r="X55" s="37">
        <f t="shared" si="2"/>
        <v>30.829751521009836</v>
      </c>
      <c r="Y55" s="37">
        <f t="shared" si="3"/>
        <v>39.438787172343204</v>
      </c>
      <c r="Z55" s="37">
        <v>54.04</v>
      </c>
      <c r="AA55" s="37">
        <v>72.180000000000007</v>
      </c>
      <c r="AB55" s="37">
        <f t="shared" si="14"/>
        <v>879.35</v>
      </c>
      <c r="AC55" s="37">
        <f t="shared" si="15"/>
        <v>0.42950126719078763</v>
      </c>
      <c r="AD55" s="37">
        <f t="shared" si="16"/>
        <v>0.57049873280921237</v>
      </c>
      <c r="AE55" s="37">
        <f t="shared" si="17"/>
        <v>0.45360505441475196</v>
      </c>
      <c r="AF55" s="37">
        <f t="shared" si="4"/>
        <v>0.54639494558524804</v>
      </c>
      <c r="AG55" s="37">
        <v>1</v>
      </c>
      <c r="AH55" s="37">
        <f t="shared" si="18"/>
        <v>171.31843662955936</v>
      </c>
      <c r="AI55" s="37">
        <f t="shared" si="19"/>
        <v>227.55916797005278</v>
      </c>
      <c r="AJ55" s="37">
        <f t="shared" si="20"/>
        <v>206.36350267465974</v>
      </c>
      <c r="AK55" s="37">
        <f t="shared" si="21"/>
        <v>274.10889272572814</v>
      </c>
      <c r="AL55" s="2"/>
    </row>
    <row r="56" spans="2:38" x14ac:dyDescent="0.2">
      <c r="B56" s="51" t="s">
        <v>31</v>
      </c>
      <c r="C56" s="51" t="s">
        <v>74</v>
      </c>
      <c r="D56" s="51">
        <v>20</v>
      </c>
      <c r="E56" s="51" t="s">
        <v>45</v>
      </c>
      <c r="F56" s="37" t="str">
        <f t="shared" si="5"/>
        <v>6219K73</v>
      </c>
      <c r="G56" s="37" t="str">
        <f t="shared" si="6"/>
        <v>6219K73</v>
      </c>
      <c r="H56" s="37" t="str">
        <f t="shared" si="7"/>
        <v>6219K87</v>
      </c>
      <c r="I56" s="37" t="str">
        <f t="shared" si="8"/>
        <v>6219K87</v>
      </c>
      <c r="J56" s="56" t="str">
        <f t="shared" si="9"/>
        <v>Black</v>
      </c>
      <c r="K56" s="56" t="str">
        <f t="shared" si="22"/>
        <v>Black</v>
      </c>
      <c r="L56" s="56" t="str">
        <f t="shared" si="23"/>
        <v>Yellow</v>
      </c>
      <c r="M56" s="56" t="str">
        <f t="shared" si="24"/>
        <v>Yellow</v>
      </c>
      <c r="N56" s="56" t="str">
        <f t="shared" si="10"/>
        <v>42-083</v>
      </c>
      <c r="O56" s="56" t="str">
        <f t="shared" si="11"/>
        <v>42-083</v>
      </c>
      <c r="P56" s="56" t="str">
        <f t="shared" si="12"/>
        <v>42-084</v>
      </c>
      <c r="Q56" s="56" t="str">
        <f t="shared" si="13"/>
        <v>42-084</v>
      </c>
      <c r="R56" s="37">
        <v>225</v>
      </c>
      <c r="S56" s="37">
        <v>40.68</v>
      </c>
      <c r="T56" s="37">
        <v>15.33</v>
      </c>
      <c r="U56" s="37">
        <v>807.95</v>
      </c>
      <c r="V56" s="37">
        <v>28.187999999999999</v>
      </c>
      <c r="W56" s="37">
        <v>49.87</v>
      </c>
      <c r="X56" s="37">
        <f t="shared" si="2"/>
        <v>30.909041676751052</v>
      </c>
      <c r="Y56" s="37">
        <f t="shared" si="3"/>
        <v>42.346402536424804</v>
      </c>
      <c r="Z56" s="37">
        <v>54.04</v>
      </c>
      <c r="AA56" s="37">
        <v>72.180000000000007</v>
      </c>
      <c r="AB56" s="37">
        <f t="shared" si="14"/>
        <v>1032.95</v>
      </c>
      <c r="AC56" s="37">
        <f t="shared" si="15"/>
        <v>0.42803401782473993</v>
      </c>
      <c r="AD56" s="37">
        <f t="shared" si="16"/>
        <v>0.57196598217526007</v>
      </c>
      <c r="AE56" s="37">
        <f t="shared" si="17"/>
        <v>0.41332221479045717</v>
      </c>
      <c r="AF56" s="37">
        <f t="shared" si="4"/>
        <v>0.58667778520954283</v>
      </c>
      <c r="AG56" s="37">
        <v>1</v>
      </c>
      <c r="AH56" s="37">
        <f t="shared" si="18"/>
        <v>182.74534940691521</v>
      </c>
      <c r="AI56" s="37">
        <f t="shared" si="19"/>
        <v>244.19583236088755</v>
      </c>
      <c r="AJ56" s="37">
        <f t="shared" si="20"/>
        <v>259.39238930514989</v>
      </c>
      <c r="AK56" s="37">
        <f t="shared" si="21"/>
        <v>346.61642892704737</v>
      </c>
      <c r="AL56" s="2"/>
    </row>
    <row r="57" spans="2:38" x14ac:dyDescent="0.2">
      <c r="B57" s="51" t="s">
        <v>31</v>
      </c>
      <c r="C57" s="51" t="s">
        <v>83</v>
      </c>
      <c r="D57" s="51">
        <v>20</v>
      </c>
      <c r="E57" s="51" t="s">
        <v>45</v>
      </c>
      <c r="F57" s="37" t="str">
        <f t="shared" si="5"/>
        <v>6219K73</v>
      </c>
      <c r="G57" s="37" t="str">
        <f t="shared" si="6"/>
        <v>6219K73</v>
      </c>
      <c r="H57" s="37" t="str">
        <f t="shared" si="7"/>
        <v>6219K73</v>
      </c>
      <c r="I57" s="37" t="str">
        <f t="shared" si="8"/>
        <v>6219K87</v>
      </c>
      <c r="J57" s="56" t="str">
        <f t="shared" si="9"/>
        <v>Black</v>
      </c>
      <c r="K57" s="56" t="str">
        <f t="shared" si="22"/>
        <v>Black</v>
      </c>
      <c r="L57" s="56" t="str">
        <f t="shared" si="23"/>
        <v>Black</v>
      </c>
      <c r="M57" s="56" t="str">
        <f t="shared" si="24"/>
        <v>Yellow</v>
      </c>
      <c r="N57" s="56" t="str">
        <f t="shared" si="10"/>
        <v>42-083</v>
      </c>
      <c r="O57" s="56" t="str">
        <f t="shared" si="11"/>
        <v>42-083</v>
      </c>
      <c r="P57" s="56" t="str">
        <f t="shared" si="12"/>
        <v>42-083</v>
      </c>
      <c r="Q57" s="56" t="str">
        <f t="shared" si="13"/>
        <v>42-084</v>
      </c>
      <c r="R57" s="37">
        <v>225</v>
      </c>
      <c r="S57" s="37">
        <v>40.68</v>
      </c>
      <c r="T57" s="37">
        <v>15.33</v>
      </c>
      <c r="U57" s="37">
        <v>766.1</v>
      </c>
      <c r="V57" s="37">
        <v>28.09</v>
      </c>
      <c r="W57" s="37">
        <v>49.27</v>
      </c>
      <c r="X57" s="37">
        <f t="shared" si="2"/>
        <v>30.948187872061347</v>
      </c>
      <c r="Y57" s="37">
        <f t="shared" si="3"/>
        <v>41.564924830995864</v>
      </c>
      <c r="Z57" s="37">
        <v>54.04</v>
      </c>
      <c r="AA57" s="37">
        <v>72.180000000000007</v>
      </c>
      <c r="AB57" s="37">
        <f t="shared" si="14"/>
        <v>991.1</v>
      </c>
      <c r="AC57" s="37">
        <f t="shared" si="15"/>
        <v>0.42730962486933111</v>
      </c>
      <c r="AD57" s="37">
        <f t="shared" si="16"/>
        <v>0.57269037513066889</v>
      </c>
      <c r="AE57" s="37">
        <f t="shared" si="17"/>
        <v>0.4241490048351918</v>
      </c>
      <c r="AF57" s="37">
        <f t="shared" si="4"/>
        <v>0.5758509951648082</v>
      </c>
      <c r="AG57" s="37">
        <v>1</v>
      </c>
      <c r="AH57" s="37">
        <f t="shared" si="18"/>
        <v>179.62988987073697</v>
      </c>
      <c r="AI57" s="37">
        <f t="shared" si="19"/>
        <v>240.74418882142163</v>
      </c>
      <c r="AJ57" s="37">
        <f t="shared" si="20"/>
        <v>243.87667933725709</v>
      </c>
      <c r="AK57" s="37">
        <f t="shared" si="21"/>
        <v>326.84924197058433</v>
      </c>
      <c r="AL57" s="2"/>
    </row>
    <row r="58" spans="2:38" x14ac:dyDescent="0.2">
      <c r="B58" s="51" t="s">
        <v>31</v>
      </c>
      <c r="C58" s="51" t="s">
        <v>84</v>
      </c>
      <c r="D58" s="51">
        <v>20</v>
      </c>
      <c r="E58" s="51" t="s">
        <v>45</v>
      </c>
      <c r="F58" s="37" t="str">
        <f t="shared" si="5"/>
        <v>6219K73</v>
      </c>
      <c r="G58" s="37" t="str">
        <f t="shared" si="6"/>
        <v>6219K73</v>
      </c>
      <c r="H58" s="37" t="str">
        <f t="shared" si="7"/>
        <v>6219K73</v>
      </c>
      <c r="I58" s="37" t="str">
        <f t="shared" si="8"/>
        <v>6219K87</v>
      </c>
      <c r="J58" s="56" t="str">
        <f t="shared" si="9"/>
        <v>Black</v>
      </c>
      <c r="K58" s="56" t="str">
        <f t="shared" si="22"/>
        <v>Black</v>
      </c>
      <c r="L58" s="56" t="str">
        <f t="shared" si="23"/>
        <v>Black</v>
      </c>
      <c r="M58" s="56" t="str">
        <f t="shared" si="24"/>
        <v>Yellow</v>
      </c>
      <c r="N58" s="56" t="str">
        <f t="shared" si="10"/>
        <v>42-083</v>
      </c>
      <c r="O58" s="56" t="str">
        <f t="shared" si="11"/>
        <v>42-083</v>
      </c>
      <c r="P58" s="56" t="str">
        <f t="shared" si="12"/>
        <v>42-083</v>
      </c>
      <c r="Q58" s="56" t="str">
        <f t="shared" si="13"/>
        <v>42-084</v>
      </c>
      <c r="R58" s="37">
        <v>225</v>
      </c>
      <c r="S58" s="37">
        <v>40.68</v>
      </c>
      <c r="T58" s="37">
        <v>15.33</v>
      </c>
      <c r="U58" s="37">
        <v>668.35</v>
      </c>
      <c r="V58" s="37">
        <v>27.72</v>
      </c>
      <c r="W58" s="37">
        <v>47.05</v>
      </c>
      <c r="X58" s="37">
        <f t="shared" si="2"/>
        <v>30.984118206749873</v>
      </c>
      <c r="Y58" s="37">
        <f t="shared" si="3"/>
        <v>39.060969944590582</v>
      </c>
      <c r="Z58" s="37">
        <v>54.04</v>
      </c>
      <c r="AA58" s="37">
        <v>72.180000000000007</v>
      </c>
      <c r="AB58" s="37">
        <f t="shared" si="14"/>
        <v>893.35</v>
      </c>
      <c r="AC58" s="37">
        <f t="shared" si="15"/>
        <v>0.4266447408077374</v>
      </c>
      <c r="AD58" s="37">
        <f t="shared" si="16"/>
        <v>0.5733552591922626</v>
      </c>
      <c r="AE58" s="37">
        <f t="shared" si="17"/>
        <v>0.458839429972422</v>
      </c>
      <c r="AF58" s="37">
        <f t="shared" si="4"/>
        <v>0.541160570027578</v>
      </c>
      <c r="AG58" s="37">
        <v>1</v>
      </c>
      <c r="AH58" s="37">
        <f t="shared" si="18"/>
        <v>174.88347319833343</v>
      </c>
      <c r="AI58" s="37">
        <f t="shared" si="19"/>
        <v>235.02073156752979</v>
      </c>
      <c r="AJ58" s="37">
        <f t="shared" si="20"/>
        <v>206.25960600225881</v>
      </c>
      <c r="AK58" s="37">
        <f t="shared" si="21"/>
        <v>277.18618923187802</v>
      </c>
      <c r="AL58" s="2"/>
    </row>
    <row r="59" spans="2:38" x14ac:dyDescent="0.2">
      <c r="B59" s="51" t="s">
        <v>31</v>
      </c>
      <c r="C59" s="51" t="s">
        <v>74</v>
      </c>
      <c r="D59" s="51">
        <v>25</v>
      </c>
      <c r="E59" s="51" t="s">
        <v>45</v>
      </c>
      <c r="F59" s="37" t="str">
        <f t="shared" si="5"/>
        <v>6219K73</v>
      </c>
      <c r="G59" s="37" t="str">
        <f t="shared" si="6"/>
        <v>6219K87</v>
      </c>
      <c r="H59" s="37" t="str">
        <f t="shared" si="7"/>
        <v>6219K87</v>
      </c>
      <c r="I59" s="37" t="str">
        <f t="shared" si="8"/>
        <v>6219K87</v>
      </c>
      <c r="J59" s="56" t="str">
        <f t="shared" si="9"/>
        <v>Black</v>
      </c>
      <c r="K59" s="56" t="str">
        <f t="shared" si="22"/>
        <v>Yellow</v>
      </c>
      <c r="L59" s="56" t="str">
        <f t="shared" si="23"/>
        <v>Yellow</v>
      </c>
      <c r="M59" s="56" t="str">
        <f t="shared" si="24"/>
        <v>Yellow</v>
      </c>
      <c r="N59" s="56" t="str">
        <f t="shared" si="10"/>
        <v>42-083</v>
      </c>
      <c r="O59" s="56" t="str">
        <f t="shared" si="11"/>
        <v>42-084</v>
      </c>
      <c r="P59" s="56" t="str">
        <f t="shared" si="12"/>
        <v>42-084</v>
      </c>
      <c r="Q59" s="56" t="str">
        <f t="shared" si="13"/>
        <v>42-084</v>
      </c>
      <c r="R59" s="37">
        <v>327</v>
      </c>
      <c r="S59" s="37">
        <v>40.68</v>
      </c>
      <c r="T59" s="37">
        <v>15.33</v>
      </c>
      <c r="U59" s="37">
        <v>807.95</v>
      </c>
      <c r="V59" s="37">
        <v>28.187999999999999</v>
      </c>
      <c r="W59" s="37">
        <v>49.87</v>
      </c>
      <c r="X59" s="37">
        <f t="shared" si="2"/>
        <v>31.787175294065822</v>
      </c>
      <c r="Y59" s="37">
        <f t="shared" si="3"/>
        <v>39.918389796907348</v>
      </c>
      <c r="Z59" s="37">
        <v>54.04</v>
      </c>
      <c r="AA59" s="37">
        <v>72.180000000000007</v>
      </c>
      <c r="AB59" s="37">
        <f t="shared" si="14"/>
        <v>1134.95</v>
      </c>
      <c r="AC59" s="37">
        <f t="shared" si="15"/>
        <v>0.41178432098323792</v>
      </c>
      <c r="AD59" s="37">
        <f t="shared" si="16"/>
        <v>0.58821567901676208</v>
      </c>
      <c r="AE59" s="37">
        <f t="shared" si="17"/>
        <v>0.44696051819191818</v>
      </c>
      <c r="AF59" s="37">
        <f t="shared" si="4"/>
        <v>0.55303948180808182</v>
      </c>
      <c r="AG59" s="37">
        <v>1</v>
      </c>
      <c r="AH59" s="37">
        <f t="shared" si="18"/>
        <v>208.88906094444732</v>
      </c>
      <c r="AI59" s="37">
        <f t="shared" si="19"/>
        <v>298.38877917747021</v>
      </c>
      <c r="AJ59" s="37">
        <f t="shared" si="20"/>
        <v>258.46555415547851</v>
      </c>
      <c r="AK59" s="37">
        <f t="shared" si="21"/>
        <v>369.20660572260391</v>
      </c>
      <c r="AL59" s="2"/>
    </row>
    <row r="60" spans="2:38" x14ac:dyDescent="0.2">
      <c r="B60" s="51" t="s">
        <v>31</v>
      </c>
      <c r="C60" s="51" t="s">
        <v>83</v>
      </c>
      <c r="D60" s="51">
        <v>25</v>
      </c>
      <c r="E60" s="51" t="s">
        <v>45</v>
      </c>
      <c r="F60" s="37" t="str">
        <f t="shared" si="5"/>
        <v>6219K73</v>
      </c>
      <c r="G60" s="37" t="str">
        <f t="shared" si="6"/>
        <v>6219K87</v>
      </c>
      <c r="H60" s="37" t="str">
        <f t="shared" si="7"/>
        <v>6219K73</v>
      </c>
      <c r="I60" s="37" t="str">
        <f t="shared" si="8"/>
        <v>6219K87</v>
      </c>
      <c r="J60" s="56" t="str">
        <f t="shared" si="9"/>
        <v>Black</v>
      </c>
      <c r="K60" s="56" t="str">
        <f t="shared" si="22"/>
        <v>Yellow</v>
      </c>
      <c r="L60" s="56" t="str">
        <f t="shared" si="23"/>
        <v>Black</v>
      </c>
      <c r="M60" s="56" t="str">
        <f t="shared" si="24"/>
        <v>Yellow</v>
      </c>
      <c r="N60" s="56" t="str">
        <f t="shared" si="10"/>
        <v>42-083</v>
      </c>
      <c r="O60" s="56" t="str">
        <f t="shared" si="11"/>
        <v>42-084</v>
      </c>
      <c r="P60" s="56" t="str">
        <f t="shared" si="12"/>
        <v>42-083</v>
      </c>
      <c r="Q60" s="56" t="str">
        <f t="shared" si="13"/>
        <v>42-084</v>
      </c>
      <c r="R60" s="37">
        <v>327</v>
      </c>
      <c r="S60" s="37">
        <v>40.68</v>
      </c>
      <c r="T60" s="37">
        <v>15.33</v>
      </c>
      <c r="U60" s="37">
        <v>766.1</v>
      </c>
      <c r="V60" s="37">
        <v>28.09</v>
      </c>
      <c r="W60" s="37">
        <v>49.27</v>
      </c>
      <c r="X60" s="37">
        <f t="shared" si="2"/>
        <v>31.856288537187815</v>
      </c>
      <c r="Y60" s="37">
        <f t="shared" si="3"/>
        <v>39.116875857652559</v>
      </c>
      <c r="Z60" s="37">
        <v>54.04</v>
      </c>
      <c r="AA60" s="37">
        <v>72.180000000000007</v>
      </c>
      <c r="AB60" s="37">
        <f t="shared" si="14"/>
        <v>1093.0999999999999</v>
      </c>
      <c r="AC60" s="37">
        <f t="shared" si="15"/>
        <v>0.41050539346432613</v>
      </c>
      <c r="AD60" s="37">
        <f t="shared" si="16"/>
        <v>0.58949460653567387</v>
      </c>
      <c r="AE60" s="37">
        <f t="shared" si="17"/>
        <v>0.45806489529436745</v>
      </c>
      <c r="AF60" s="37">
        <f t="shared" si="4"/>
        <v>0.54193510470563255</v>
      </c>
      <c r="AG60" s="37">
        <v>1</v>
      </c>
      <c r="AH60" s="37">
        <f t="shared" si="18"/>
        <v>205.54445812299303</v>
      </c>
      <c r="AI60" s="37">
        <f t="shared" si="19"/>
        <v>295.16627892327995</v>
      </c>
      <c r="AJ60" s="37">
        <f t="shared" si="20"/>
        <v>243.17898747286182</v>
      </c>
      <c r="AK60" s="37">
        <f t="shared" si="21"/>
        <v>349.21027548086511</v>
      </c>
      <c r="AL60" s="2"/>
    </row>
    <row r="61" spans="2:38" x14ac:dyDescent="0.2">
      <c r="B61" s="51" t="s">
        <v>31</v>
      </c>
      <c r="C61" s="51" t="s">
        <v>84</v>
      </c>
      <c r="D61" s="51">
        <v>25</v>
      </c>
      <c r="E61" s="51" t="s">
        <v>45</v>
      </c>
      <c r="F61" s="37" t="str">
        <f t="shared" si="5"/>
        <v>6219K73</v>
      </c>
      <c r="G61" s="37" t="str">
        <f t="shared" si="6"/>
        <v>6219K87</v>
      </c>
      <c r="H61" s="37" t="str">
        <f t="shared" si="7"/>
        <v>6219K73</v>
      </c>
      <c r="I61" s="37" t="str">
        <f t="shared" si="8"/>
        <v>6219K87</v>
      </c>
      <c r="J61" s="56" t="str">
        <f t="shared" si="9"/>
        <v>Black</v>
      </c>
      <c r="K61" s="56" t="str">
        <f t="shared" si="22"/>
        <v>Yellow</v>
      </c>
      <c r="L61" s="56" t="str">
        <f t="shared" si="23"/>
        <v>Black</v>
      </c>
      <c r="M61" s="56" t="str">
        <f t="shared" si="24"/>
        <v>Yellow</v>
      </c>
      <c r="N61" s="56" t="str">
        <f t="shared" si="10"/>
        <v>42-083</v>
      </c>
      <c r="O61" s="56" t="str">
        <f t="shared" si="11"/>
        <v>42-084</v>
      </c>
      <c r="P61" s="56" t="str">
        <f t="shared" si="12"/>
        <v>42-083</v>
      </c>
      <c r="Q61" s="56" t="str">
        <f t="shared" si="13"/>
        <v>42-084</v>
      </c>
      <c r="R61" s="37">
        <v>327</v>
      </c>
      <c r="S61" s="37">
        <v>40.68</v>
      </c>
      <c r="T61" s="37">
        <v>15.33</v>
      </c>
      <c r="U61" s="37">
        <v>668.35</v>
      </c>
      <c r="V61" s="37">
        <v>27.72</v>
      </c>
      <c r="W61" s="37">
        <v>47.05</v>
      </c>
      <c r="X61" s="37">
        <f t="shared" si="2"/>
        <v>31.9777183905159</v>
      </c>
      <c r="Y61" s="37">
        <f t="shared" si="3"/>
        <v>36.629102828150899</v>
      </c>
      <c r="Z61" s="37">
        <v>54.04</v>
      </c>
      <c r="AA61" s="37">
        <v>72.180000000000007</v>
      </c>
      <c r="AB61" s="37">
        <f t="shared" si="14"/>
        <v>995.35</v>
      </c>
      <c r="AC61" s="37">
        <f t="shared" si="15"/>
        <v>0.4082583569482624</v>
      </c>
      <c r="AD61" s="37">
        <f t="shared" si="16"/>
        <v>0.5917416430517376</v>
      </c>
      <c r="AE61" s="37">
        <f t="shared" si="17"/>
        <v>0.49253113288790673</v>
      </c>
      <c r="AF61" s="37">
        <f t="shared" si="4"/>
        <v>0.50746886711209327</v>
      </c>
      <c r="AG61" s="37">
        <v>1</v>
      </c>
      <c r="AH61" s="37">
        <f t="shared" si="18"/>
        <v>200.14492928626021</v>
      </c>
      <c r="AI61" s="37">
        <f t="shared" si="19"/>
        <v>290.09593383371777</v>
      </c>
      <c r="AJ61" s="37">
        <f t="shared" si="20"/>
        <v>206.21502630219277</v>
      </c>
      <c r="AK61" s="37">
        <f t="shared" si="21"/>
        <v>298.89411057782928</v>
      </c>
      <c r="AL61" s="2"/>
    </row>
    <row r="62" spans="2:38" x14ac:dyDescent="0.2">
      <c r="B62" s="51" t="s">
        <v>31</v>
      </c>
      <c r="C62" s="51" t="s">
        <v>74</v>
      </c>
      <c r="D62" s="51">
        <v>30</v>
      </c>
      <c r="E62" s="51" t="s">
        <v>45</v>
      </c>
      <c r="F62" s="37" t="str">
        <f t="shared" si="5"/>
        <v>6219K73</v>
      </c>
      <c r="G62" s="37" t="str">
        <f t="shared" si="6"/>
        <v>6219K87</v>
      </c>
      <c r="H62" s="37" t="str">
        <f t="shared" si="7"/>
        <v>6219K87</v>
      </c>
      <c r="I62" s="37" t="str">
        <f t="shared" si="8"/>
        <v>6219K88</v>
      </c>
      <c r="J62" s="56" t="str">
        <f t="shared" si="9"/>
        <v>Black</v>
      </c>
      <c r="K62" s="56" t="str">
        <f t="shared" si="22"/>
        <v>Yellow</v>
      </c>
      <c r="L62" s="56" t="str">
        <f t="shared" si="23"/>
        <v>Yellow</v>
      </c>
      <c r="M62" s="56" t="str">
        <f t="shared" si="24"/>
        <v>Yellow/Green</v>
      </c>
      <c r="N62" s="56" t="str">
        <f t="shared" si="10"/>
        <v>42-083</v>
      </c>
      <c r="O62" s="56" t="str">
        <f t="shared" si="11"/>
        <v>42-084</v>
      </c>
      <c r="P62" s="56" t="str">
        <f t="shared" si="12"/>
        <v>42-084</v>
      </c>
      <c r="Q62" s="56" t="str">
        <f t="shared" si="13"/>
        <v>42-085</v>
      </c>
      <c r="R62" s="37">
        <v>335</v>
      </c>
      <c r="S62" s="37">
        <v>40.68</v>
      </c>
      <c r="T62" s="37">
        <v>15.33</v>
      </c>
      <c r="U62" s="37">
        <v>807.95</v>
      </c>
      <c r="V62" s="37">
        <v>28.187999999999999</v>
      </c>
      <c r="W62" s="37">
        <v>49.87</v>
      </c>
      <c r="X62" s="37">
        <f t="shared" si="2"/>
        <v>31.849420009624218</v>
      </c>
      <c r="Y62" s="37">
        <f t="shared" si="3"/>
        <v>39.746285051839543</v>
      </c>
      <c r="Z62" s="37">
        <v>54.04</v>
      </c>
      <c r="AA62" s="37">
        <v>72.180000000000007</v>
      </c>
      <c r="AB62" s="37">
        <f t="shared" si="14"/>
        <v>1142.95</v>
      </c>
      <c r="AC62" s="37">
        <f t="shared" si="15"/>
        <v>0.41063249427046222</v>
      </c>
      <c r="AD62" s="37">
        <f t="shared" si="16"/>
        <v>0.58936750572953778</v>
      </c>
      <c r="AE62" s="37">
        <f t="shared" si="17"/>
        <v>0.44934490091660373</v>
      </c>
      <c r="AF62" s="37">
        <f t="shared" si="4"/>
        <v>0.55065509908339627</v>
      </c>
      <c r="AG62" s="37">
        <v>1</v>
      </c>
      <c r="AH62" s="37">
        <f t="shared" si="18"/>
        <v>210.89212496573325</v>
      </c>
      <c r="AI62" s="37">
        <f t="shared" si="19"/>
        <v>302.68662953689898</v>
      </c>
      <c r="AJ62" s="37">
        <f t="shared" si="20"/>
        <v>258.44028436069152</v>
      </c>
      <c r="AK62" s="37">
        <f t="shared" si="21"/>
        <v>370.93096113667627</v>
      </c>
      <c r="AL62" s="2"/>
    </row>
    <row r="63" spans="2:38" x14ac:dyDescent="0.2">
      <c r="B63" s="51" t="s">
        <v>31</v>
      </c>
      <c r="C63" s="51" t="s">
        <v>83</v>
      </c>
      <c r="D63" s="51">
        <v>30</v>
      </c>
      <c r="E63" s="51" t="s">
        <v>45</v>
      </c>
      <c r="F63" s="37" t="str">
        <f t="shared" si="5"/>
        <v>6219K73</v>
      </c>
      <c r="G63" s="37" t="str">
        <f t="shared" si="6"/>
        <v>6219K87</v>
      </c>
      <c r="H63" s="37" t="str">
        <f t="shared" si="7"/>
        <v>6219K73</v>
      </c>
      <c r="I63" s="37" t="str">
        <f t="shared" si="8"/>
        <v>6219K87</v>
      </c>
      <c r="J63" s="56" t="str">
        <f t="shared" si="9"/>
        <v>Black</v>
      </c>
      <c r="K63" s="56" t="str">
        <f t="shared" si="22"/>
        <v>Yellow</v>
      </c>
      <c r="L63" s="56" t="str">
        <f t="shared" si="23"/>
        <v>Black</v>
      </c>
      <c r="M63" s="56" t="str">
        <f t="shared" si="24"/>
        <v>Yellow</v>
      </c>
      <c r="N63" s="56" t="str">
        <f t="shared" si="10"/>
        <v>42-083</v>
      </c>
      <c r="O63" s="56" t="str">
        <f t="shared" si="11"/>
        <v>42-084</v>
      </c>
      <c r="P63" s="56" t="str">
        <f t="shared" si="12"/>
        <v>42-083</v>
      </c>
      <c r="Q63" s="56" t="str">
        <f t="shared" si="13"/>
        <v>42-084</v>
      </c>
      <c r="R63" s="37">
        <v>335</v>
      </c>
      <c r="S63" s="37">
        <v>40.68</v>
      </c>
      <c r="T63" s="37">
        <v>15.33</v>
      </c>
      <c r="U63" s="37">
        <v>766.1</v>
      </c>
      <c r="V63" s="37">
        <v>28.09</v>
      </c>
      <c r="W63" s="37">
        <v>49.27</v>
      </c>
      <c r="X63" s="37">
        <f t="shared" si="2"/>
        <v>31.920396875851424</v>
      </c>
      <c r="Y63" s="37">
        <f t="shared" si="3"/>
        <v>38.944053219507772</v>
      </c>
      <c r="Z63" s="37">
        <v>54.04</v>
      </c>
      <c r="AA63" s="37">
        <v>72.180000000000007</v>
      </c>
      <c r="AB63" s="37">
        <f t="shared" si="14"/>
        <v>1101.0999999999999</v>
      </c>
      <c r="AC63" s="37">
        <f t="shared" si="15"/>
        <v>0.4093190807577457</v>
      </c>
      <c r="AD63" s="37">
        <f t="shared" si="16"/>
        <v>0.5906809192422543</v>
      </c>
      <c r="AE63" s="37">
        <f t="shared" si="17"/>
        <v>0.46045922389155214</v>
      </c>
      <c r="AF63" s="37">
        <f t="shared" si="4"/>
        <v>0.53954077610844786</v>
      </c>
      <c r="AG63" s="37">
        <v>1</v>
      </c>
      <c r="AH63" s="37">
        <f t="shared" si="18"/>
        <v>207.52954309556131</v>
      </c>
      <c r="AI63" s="37">
        <f t="shared" si="19"/>
        <v>299.48210833142673</v>
      </c>
      <c r="AJ63" s="37">
        <f t="shared" si="20"/>
        <v>243.17169672679242</v>
      </c>
      <c r="AK63" s="37">
        <f t="shared" si="21"/>
        <v>350.91665184621945</v>
      </c>
      <c r="AL63" s="2"/>
    </row>
    <row r="64" spans="2:38" x14ac:dyDescent="0.2">
      <c r="B64" s="51" t="s">
        <v>31</v>
      </c>
      <c r="C64" s="51" t="s">
        <v>84</v>
      </c>
      <c r="D64" s="51">
        <v>30</v>
      </c>
      <c r="E64" s="51" t="s">
        <v>45</v>
      </c>
      <c r="F64" s="37" t="str">
        <f t="shared" si="5"/>
        <v>6219K73</v>
      </c>
      <c r="G64" s="37" t="str">
        <f t="shared" si="6"/>
        <v>6219K87</v>
      </c>
      <c r="H64" s="37" t="str">
        <f t="shared" si="7"/>
        <v>6219K73</v>
      </c>
      <c r="I64" s="37" t="str">
        <f t="shared" si="8"/>
        <v>6219K87</v>
      </c>
      <c r="J64" s="56" t="str">
        <f t="shared" si="9"/>
        <v>Black</v>
      </c>
      <c r="K64" s="56" t="str">
        <f t="shared" si="22"/>
        <v>Yellow</v>
      </c>
      <c r="L64" s="56" t="str">
        <f t="shared" si="23"/>
        <v>Black</v>
      </c>
      <c r="M64" s="56" t="str">
        <f t="shared" si="24"/>
        <v>Yellow</v>
      </c>
      <c r="N64" s="56" t="str">
        <f t="shared" si="10"/>
        <v>42-083</v>
      </c>
      <c r="O64" s="56" t="str">
        <f t="shared" si="11"/>
        <v>42-084</v>
      </c>
      <c r="P64" s="56" t="str">
        <f t="shared" si="12"/>
        <v>42-083</v>
      </c>
      <c r="Q64" s="56" t="str">
        <f t="shared" si="13"/>
        <v>42-084</v>
      </c>
      <c r="R64" s="37">
        <v>335</v>
      </c>
      <c r="S64" s="37">
        <v>40.68</v>
      </c>
      <c r="T64" s="37">
        <v>15.33</v>
      </c>
      <c r="U64" s="37">
        <v>668.35</v>
      </c>
      <c r="V64" s="37">
        <v>27.72</v>
      </c>
      <c r="W64" s="37">
        <v>47.05</v>
      </c>
      <c r="X64" s="37">
        <f t="shared" si="2"/>
        <v>32.047104200926896</v>
      </c>
      <c r="Y64" s="37">
        <f t="shared" si="3"/>
        <v>36.45927891563263</v>
      </c>
      <c r="Z64" s="37">
        <v>54.04</v>
      </c>
      <c r="AA64" s="37">
        <v>72.180000000000007</v>
      </c>
      <c r="AB64" s="37">
        <f t="shared" si="14"/>
        <v>1003.35</v>
      </c>
      <c r="AC64" s="37">
        <f t="shared" si="15"/>
        <v>0.40697438562311439</v>
      </c>
      <c r="AD64" s="37">
        <f t="shared" si="16"/>
        <v>0.59302561437688561</v>
      </c>
      <c r="AE64" s="37">
        <f t="shared" si="17"/>
        <v>0.49488391638081708</v>
      </c>
      <c r="AF64" s="37">
        <f t="shared" si="4"/>
        <v>0.50511608361918292</v>
      </c>
      <c r="AG64" s="37">
        <v>1</v>
      </c>
      <c r="AH64" s="37">
        <f t="shared" si="18"/>
        <v>202.07978483455364</v>
      </c>
      <c r="AI64" s="37">
        <f t="shared" si="19"/>
        <v>294.46199266613917</v>
      </c>
      <c r="AJ64" s="37">
        <f t="shared" si="20"/>
        <v>206.25796498039821</v>
      </c>
      <c r="AK64" s="37">
        <f t="shared" si="21"/>
        <v>300.55025751890901</v>
      </c>
      <c r="AL64" s="2"/>
    </row>
    <row r="65" spans="2:38" x14ac:dyDescent="0.2">
      <c r="B65" s="51" t="s">
        <v>31</v>
      </c>
      <c r="C65" s="51" t="s">
        <v>74</v>
      </c>
      <c r="D65" s="51">
        <v>40</v>
      </c>
      <c r="E65" s="51" t="s">
        <v>45</v>
      </c>
      <c r="F65" s="37" t="str">
        <f t="shared" si="5"/>
        <v>6219K73</v>
      </c>
      <c r="G65" s="37" t="str">
        <f t="shared" si="6"/>
        <v>6219K87</v>
      </c>
      <c r="H65" s="37" t="str">
        <f t="shared" si="7"/>
        <v>6219K87</v>
      </c>
      <c r="I65" s="37" t="str">
        <f t="shared" si="8"/>
        <v>6219K88</v>
      </c>
      <c r="J65" s="56" t="str">
        <f t="shared" si="9"/>
        <v>Black</v>
      </c>
      <c r="K65" s="56" t="str">
        <f t="shared" si="22"/>
        <v>Yellow</v>
      </c>
      <c r="L65" s="56" t="str">
        <f t="shared" si="23"/>
        <v>Yellow</v>
      </c>
      <c r="M65" s="56" t="str">
        <f t="shared" si="24"/>
        <v>Yellow/Green</v>
      </c>
      <c r="N65" s="56" t="str">
        <f t="shared" si="10"/>
        <v>42-083</v>
      </c>
      <c r="O65" s="56" t="str">
        <f t="shared" si="11"/>
        <v>42-084</v>
      </c>
      <c r="P65" s="56" t="str">
        <f t="shared" si="12"/>
        <v>42-084</v>
      </c>
      <c r="Q65" s="56" t="str">
        <f t="shared" si="13"/>
        <v>42-085</v>
      </c>
      <c r="R65" s="37">
        <v>396</v>
      </c>
      <c r="S65" s="37">
        <v>40.68</v>
      </c>
      <c r="T65" s="37">
        <v>15.33</v>
      </c>
      <c r="U65" s="37">
        <v>807.95</v>
      </c>
      <c r="V65" s="37">
        <v>28.187999999999999</v>
      </c>
      <c r="W65" s="37">
        <v>49.87</v>
      </c>
      <c r="X65" s="37">
        <f t="shared" si="2"/>
        <v>32.296835084513482</v>
      </c>
      <c r="Y65" s="37">
        <f t="shared" si="3"/>
        <v>38.509195979899495</v>
      </c>
      <c r="Z65" s="37">
        <v>54.04</v>
      </c>
      <c r="AA65" s="37">
        <v>72.180000000000007</v>
      </c>
      <c r="AB65" s="37">
        <f t="shared" si="14"/>
        <v>1203.95</v>
      </c>
      <c r="AC65" s="37">
        <f t="shared" si="15"/>
        <v>0.40235316275881783</v>
      </c>
      <c r="AD65" s="37">
        <f t="shared" si="16"/>
        <v>0.59764683724118217</v>
      </c>
      <c r="AE65" s="37">
        <f t="shared" si="17"/>
        <v>0.46648384621918138</v>
      </c>
      <c r="AF65" s="37">
        <f t="shared" si="4"/>
        <v>0.53351615378081862</v>
      </c>
      <c r="AG65" s="37">
        <v>1</v>
      </c>
      <c r="AH65" s="37">
        <f t="shared" si="18"/>
        <v>225.97088152368639</v>
      </c>
      <c r="AI65" s="37">
        <f t="shared" si="19"/>
        <v>335.65234513189705</v>
      </c>
      <c r="AJ65" s="37">
        <f t="shared" si="20"/>
        <v>258.44220877979234</v>
      </c>
      <c r="AK65" s="37">
        <f t="shared" si="21"/>
        <v>383.88456456462427</v>
      </c>
      <c r="AL65" s="2"/>
    </row>
    <row r="66" spans="2:38" x14ac:dyDescent="0.2">
      <c r="B66" s="51" t="s">
        <v>31</v>
      </c>
      <c r="C66" s="51" t="s">
        <v>83</v>
      </c>
      <c r="D66" s="51">
        <v>40</v>
      </c>
      <c r="E66" s="51" t="s">
        <v>45</v>
      </c>
      <c r="F66" s="37" t="str">
        <f t="shared" si="5"/>
        <v>6219K73</v>
      </c>
      <c r="G66" s="37" t="str">
        <f t="shared" si="6"/>
        <v>6219K87</v>
      </c>
      <c r="H66" s="37" t="str">
        <f t="shared" si="7"/>
        <v>6219K73</v>
      </c>
      <c r="I66" s="37" t="str">
        <f t="shared" si="8"/>
        <v>6219K87</v>
      </c>
      <c r="J66" s="56" t="str">
        <f t="shared" si="9"/>
        <v>Black</v>
      </c>
      <c r="K66" s="56" t="str">
        <f t="shared" si="22"/>
        <v>Yellow</v>
      </c>
      <c r="L66" s="56" t="str">
        <f t="shared" si="23"/>
        <v>Black</v>
      </c>
      <c r="M66" s="56" t="str">
        <f t="shared" si="24"/>
        <v>Yellow</v>
      </c>
      <c r="N66" s="56" t="str">
        <f t="shared" si="10"/>
        <v>42-083</v>
      </c>
      <c r="O66" s="56" t="str">
        <f t="shared" si="11"/>
        <v>42-084</v>
      </c>
      <c r="P66" s="56" t="str">
        <f t="shared" si="12"/>
        <v>42-083</v>
      </c>
      <c r="Q66" s="56" t="str">
        <f t="shared" si="13"/>
        <v>42-084</v>
      </c>
      <c r="R66" s="37">
        <v>396</v>
      </c>
      <c r="S66" s="37">
        <v>40.68</v>
      </c>
      <c r="T66" s="37">
        <v>15.33</v>
      </c>
      <c r="U66" s="37">
        <v>766.1</v>
      </c>
      <c r="V66" s="37">
        <v>28.09</v>
      </c>
      <c r="W66" s="37">
        <v>49.27</v>
      </c>
      <c r="X66" s="37">
        <f t="shared" si="2"/>
        <v>32.380198778074181</v>
      </c>
      <c r="Y66" s="37">
        <f t="shared" si="3"/>
        <v>37.704523707082011</v>
      </c>
      <c r="Z66" s="37">
        <v>54.04</v>
      </c>
      <c r="AA66" s="37">
        <v>72.180000000000007</v>
      </c>
      <c r="AB66" s="37">
        <f t="shared" si="14"/>
        <v>1162.0999999999999</v>
      </c>
      <c r="AC66" s="37">
        <f t="shared" si="15"/>
        <v>0.40081053334429717</v>
      </c>
      <c r="AD66" s="37">
        <f t="shared" si="16"/>
        <v>0.59918946665570283</v>
      </c>
      <c r="AE66" s="37">
        <f t="shared" si="17"/>
        <v>0.4776319796746743</v>
      </c>
      <c r="AF66" s="37">
        <f t="shared" si="4"/>
        <v>0.5223680203253257</v>
      </c>
      <c r="AG66" s="37">
        <v>1</v>
      </c>
      <c r="AH66" s="37">
        <f t="shared" si="18"/>
        <v>222.47234092809347</v>
      </c>
      <c r="AI66" s="37">
        <f t="shared" si="19"/>
        <v>332.58378265184552</v>
      </c>
      <c r="AJ66" s="37">
        <f t="shared" si="20"/>
        <v>243.30957987131424</v>
      </c>
      <c r="AK66" s="37">
        <f t="shared" si="21"/>
        <v>363.73429654874673</v>
      </c>
      <c r="AL66" s="2"/>
    </row>
    <row r="67" spans="2:38" x14ac:dyDescent="0.2">
      <c r="B67" s="51" t="s">
        <v>31</v>
      </c>
      <c r="C67" s="51" t="s">
        <v>84</v>
      </c>
      <c r="D67" s="51">
        <v>40</v>
      </c>
      <c r="E67" s="51" t="s">
        <v>45</v>
      </c>
      <c r="F67" s="37" t="str">
        <f t="shared" si="5"/>
        <v>6219K73</v>
      </c>
      <c r="G67" s="37" t="str">
        <f t="shared" si="6"/>
        <v>6219K87</v>
      </c>
      <c r="H67" s="37" t="str">
        <f t="shared" si="7"/>
        <v>6219K73</v>
      </c>
      <c r="I67" s="37" t="str">
        <f t="shared" si="8"/>
        <v>6219K87</v>
      </c>
      <c r="J67" s="56" t="str">
        <f t="shared" si="9"/>
        <v>Black</v>
      </c>
      <c r="K67" s="56" t="str">
        <f t="shared" si="22"/>
        <v>Yellow</v>
      </c>
      <c r="L67" s="56" t="str">
        <f t="shared" si="23"/>
        <v>Black</v>
      </c>
      <c r="M67" s="56" t="str">
        <f t="shared" si="24"/>
        <v>Yellow</v>
      </c>
      <c r="N67" s="56" t="str">
        <f t="shared" si="10"/>
        <v>42-083</v>
      </c>
      <c r="O67" s="56" t="str">
        <f t="shared" si="11"/>
        <v>42-084</v>
      </c>
      <c r="P67" s="56" t="str">
        <f t="shared" si="12"/>
        <v>42-083</v>
      </c>
      <c r="Q67" s="56" t="str">
        <f t="shared" si="13"/>
        <v>42-084</v>
      </c>
      <c r="R67" s="37">
        <v>396</v>
      </c>
      <c r="S67" s="37">
        <v>40.68</v>
      </c>
      <c r="T67" s="37">
        <v>15.33</v>
      </c>
      <c r="U67" s="37">
        <v>668.35</v>
      </c>
      <c r="V67" s="37">
        <v>27.72</v>
      </c>
      <c r="W67" s="37">
        <v>47.05</v>
      </c>
      <c r="X67" s="37">
        <f t="shared" si="2"/>
        <v>32.541872504345378</v>
      </c>
      <c r="Y67" s="37">
        <f t="shared" si="3"/>
        <v>35.248318222389258</v>
      </c>
      <c r="Z67" s="37">
        <v>54.04</v>
      </c>
      <c r="AA67" s="37">
        <v>72.180000000000007</v>
      </c>
      <c r="AB67" s="37">
        <f t="shared" si="14"/>
        <v>1064.3499999999999</v>
      </c>
      <c r="AC67" s="37">
        <f t="shared" si="15"/>
        <v>0.39781879155541489</v>
      </c>
      <c r="AD67" s="37">
        <f t="shared" si="16"/>
        <v>0.60218120844458511</v>
      </c>
      <c r="AE67" s="37">
        <f t="shared" si="17"/>
        <v>0.5116608725077687</v>
      </c>
      <c r="AF67" s="37">
        <f t="shared" si="4"/>
        <v>0.4883391274922313</v>
      </c>
      <c r="AG67" s="37">
        <v>1</v>
      </c>
      <c r="AH67" s="37">
        <f t="shared" si="18"/>
        <v>216.64664373490797</v>
      </c>
      <c r="AI67" s="37">
        <f t="shared" si="19"/>
        <v>327.93960591873559</v>
      </c>
      <c r="AJ67" s="37">
        <f t="shared" si="20"/>
        <v>206.77178705709781</v>
      </c>
      <c r="AK67" s="37">
        <f t="shared" si="21"/>
        <v>312.99196328925854</v>
      </c>
      <c r="AL67" s="2"/>
    </row>
    <row r="68" spans="2:38" ht="15" x14ac:dyDescent="0.25">
      <c r="B68" s="37" t="s">
        <v>32</v>
      </c>
      <c r="C68" s="37" t="s">
        <v>74</v>
      </c>
      <c r="D68" s="37">
        <v>20</v>
      </c>
      <c r="E68" s="51" t="s">
        <v>45</v>
      </c>
      <c r="F68" s="37" t="str">
        <f t="shared" si="5"/>
        <v>6219K88</v>
      </c>
      <c r="G68" s="37" t="str">
        <f t="shared" si="6"/>
        <v>6219K88</v>
      </c>
      <c r="H68" s="37" t="str">
        <f t="shared" si="7"/>
        <v>6219K87</v>
      </c>
      <c r="I68" s="37" t="str">
        <f t="shared" si="8"/>
        <v>6219K88</v>
      </c>
      <c r="J68" s="56" t="str">
        <f>VLOOKUP(AH68,$AM$15:$AQ$18,3,TRUE)</f>
        <v>C-B-750</v>
      </c>
      <c r="K68" s="56" t="str">
        <f t="shared" ref="K68:M83" si="25">VLOOKUP(AI68,$AM$15:$AQ$18,3,TRUE)</f>
        <v>C-B-750</v>
      </c>
      <c r="L68" s="56" t="str">
        <f t="shared" si="25"/>
        <v>C-B-450</v>
      </c>
      <c r="M68" s="56" t="str">
        <f t="shared" si="25"/>
        <v>C-B-450</v>
      </c>
      <c r="N68" s="56" t="str">
        <f t="shared" si="10"/>
        <v>42-085</v>
      </c>
      <c r="O68" s="56" t="str">
        <f t="shared" si="11"/>
        <v>42-085</v>
      </c>
      <c r="P68" s="56" t="str">
        <f t="shared" si="12"/>
        <v>42-084</v>
      </c>
      <c r="Q68" s="56" t="str">
        <f t="shared" si="13"/>
        <v>42-085</v>
      </c>
      <c r="R68" s="37">
        <v>225</v>
      </c>
      <c r="S68" s="57">
        <v>44.5</v>
      </c>
      <c r="T68" s="57">
        <v>18.7</v>
      </c>
      <c r="U68" s="37">
        <v>1509</v>
      </c>
      <c r="V68" s="37">
        <v>26.4</v>
      </c>
      <c r="W68" s="37">
        <v>45.7</v>
      </c>
      <c r="X68" s="37">
        <f t="shared" si="2"/>
        <v>28.748615916955018</v>
      </c>
      <c r="Y68" s="37">
        <f t="shared" si="3"/>
        <v>42.196539792387547</v>
      </c>
      <c r="Z68" s="57">
        <v>55</v>
      </c>
      <c r="AA68" s="57">
        <v>95</v>
      </c>
      <c r="AB68" s="37">
        <f t="shared" si="14"/>
        <v>1734</v>
      </c>
      <c r="AC68" s="37">
        <f t="shared" si="15"/>
        <v>0.47729789241899967</v>
      </c>
      <c r="AD68" s="37">
        <f t="shared" si="16"/>
        <v>0.52270210758100033</v>
      </c>
      <c r="AE68" s="37">
        <f t="shared" si="17"/>
        <v>0.55582589692223627</v>
      </c>
      <c r="AF68" s="37">
        <f t="shared" si="4"/>
        <v>0.44417410307776367</v>
      </c>
      <c r="AG68" s="37">
        <v>1</v>
      </c>
      <c r="AH68" s="37">
        <f t="shared" si="18"/>
        <v>460.02071355110007</v>
      </c>
      <c r="AI68" s="37">
        <f t="shared" si="19"/>
        <v>503.78139171205765</v>
      </c>
      <c r="AJ68" s="37">
        <f t="shared" si="20"/>
        <v>367.61383190344537</v>
      </c>
      <c r="AK68" s="37">
        <f t="shared" si="21"/>
        <v>402.58406283339684</v>
      </c>
      <c r="AL68" s="2"/>
    </row>
    <row r="69" spans="2:38" ht="15" x14ac:dyDescent="0.25">
      <c r="B69" s="37" t="s">
        <v>32</v>
      </c>
      <c r="C69" s="37" t="s">
        <v>83</v>
      </c>
      <c r="D69" s="37">
        <v>20</v>
      </c>
      <c r="E69" s="51" t="s">
        <v>45</v>
      </c>
      <c r="F69" s="37" t="str">
        <f t="shared" si="5"/>
        <v>6219K88</v>
      </c>
      <c r="G69" s="37" t="str">
        <f t="shared" si="6"/>
        <v>6219K88</v>
      </c>
      <c r="H69" s="37" t="str">
        <f t="shared" si="7"/>
        <v>6219K87</v>
      </c>
      <c r="I69" s="37" t="str">
        <f t="shared" si="8"/>
        <v>6219K87</v>
      </c>
      <c r="J69" s="56" t="str">
        <f t="shared" ref="J69:J88" si="26">VLOOKUP(AH69,$AM$15:$AQ$18,3,TRUE)</f>
        <v>C-B-450</v>
      </c>
      <c r="K69" s="56" t="str">
        <f t="shared" si="25"/>
        <v>C-B-750</v>
      </c>
      <c r="L69" s="56" t="str">
        <f t="shared" si="25"/>
        <v>C-B-450</v>
      </c>
      <c r="M69" s="56" t="str">
        <f t="shared" si="25"/>
        <v>C-B-450</v>
      </c>
      <c r="N69" s="56" t="str">
        <f t="shared" si="10"/>
        <v>42-085</v>
      </c>
      <c r="O69" s="56" t="str">
        <f t="shared" si="11"/>
        <v>42-085</v>
      </c>
      <c r="P69" s="56" t="str">
        <f t="shared" si="12"/>
        <v>42-084</v>
      </c>
      <c r="Q69" s="56" t="str">
        <f t="shared" si="13"/>
        <v>42-084</v>
      </c>
      <c r="R69" s="37">
        <v>225</v>
      </c>
      <c r="S69" s="57">
        <v>44.5</v>
      </c>
      <c r="T69" s="57">
        <v>18.7</v>
      </c>
      <c r="U69" s="57">
        <v>1281</v>
      </c>
      <c r="V69" s="57">
        <v>26.1</v>
      </c>
      <c r="W69" s="57">
        <v>42.5</v>
      </c>
      <c r="X69" s="37">
        <f t="shared" ref="X69:X132" si="27">(R69*S69+U69*V69)/(R69+U69)</f>
        <v>28.849003984063746</v>
      </c>
      <c r="Y69" s="37">
        <f t="shared" ref="Y69:Y132" si="28">(R69*T69+U69*W69)/(R69+U69)</f>
        <v>38.944223107569719</v>
      </c>
      <c r="Z69" s="57">
        <v>55</v>
      </c>
      <c r="AA69" s="57">
        <v>95</v>
      </c>
      <c r="AB69" s="37">
        <f t="shared" si="14"/>
        <v>1506</v>
      </c>
      <c r="AC69" s="37">
        <f t="shared" si="15"/>
        <v>0.47547265483520462</v>
      </c>
      <c r="AD69" s="37">
        <f t="shared" si="16"/>
        <v>0.52452734516479538</v>
      </c>
      <c r="AE69" s="37">
        <f t="shared" si="17"/>
        <v>0.59006080939400296</v>
      </c>
      <c r="AF69" s="37">
        <f t="shared" ref="AF69:AF132" si="29">(Y69/AA69)</f>
        <v>0.40993919060599704</v>
      </c>
      <c r="AG69" s="37">
        <v>1</v>
      </c>
      <c r="AH69" s="37">
        <f t="shared" si="18"/>
        <v>422.52001601250498</v>
      </c>
      <c r="AI69" s="37">
        <f t="shared" si="19"/>
        <v>466.11156293486346</v>
      </c>
      <c r="AJ69" s="37">
        <f t="shared" si="20"/>
        <v>293.54180216931314</v>
      </c>
      <c r="AK69" s="37">
        <f t="shared" si="21"/>
        <v>323.82661888331842</v>
      </c>
      <c r="AL69" s="2"/>
    </row>
    <row r="70" spans="2:38" ht="15" x14ac:dyDescent="0.25">
      <c r="B70" s="37" t="s">
        <v>32</v>
      </c>
      <c r="C70" s="37" t="s">
        <v>84</v>
      </c>
      <c r="D70" s="37">
        <v>20</v>
      </c>
      <c r="E70" s="51" t="s">
        <v>45</v>
      </c>
      <c r="F70" s="37" t="str">
        <f t="shared" ref="F70:F133" si="30">VLOOKUP(AH70,$AM$5:$AQ$12,4,TRUE)</f>
        <v>6219K88</v>
      </c>
      <c r="G70" s="37" t="str">
        <f t="shared" ref="G70:G133" si="31">VLOOKUP(AI70,$AM$5:$AQ$12,4,TRUE)</f>
        <v>6219K88</v>
      </c>
      <c r="H70" s="37" t="str">
        <f t="shared" ref="H70:H133" si="32">VLOOKUP(AJ70,$AM$5:$AQ$12,4,TRUE)</f>
        <v>6219K87</v>
      </c>
      <c r="I70" s="37" t="str">
        <f t="shared" ref="I70:I133" si="33">VLOOKUP(AK70,$AM$5:$AQ$12,4,TRUE)</f>
        <v>6219K88</v>
      </c>
      <c r="J70" s="56" t="str">
        <f t="shared" si="26"/>
        <v>C-B-450</v>
      </c>
      <c r="K70" s="56" t="str">
        <f t="shared" si="25"/>
        <v>C-B-750</v>
      </c>
      <c r="L70" s="56" t="str">
        <f t="shared" si="25"/>
        <v>C-B-450</v>
      </c>
      <c r="M70" s="56" t="str">
        <f t="shared" si="25"/>
        <v>C-B-450</v>
      </c>
      <c r="N70" s="56" t="str">
        <f t="shared" ref="N70:N133" si="34">VLOOKUP(AH70,$AM$5:$AQ$12,5,TRUE)</f>
        <v>42-085</v>
      </c>
      <c r="O70" s="56" t="str">
        <f t="shared" ref="O70:O133" si="35">VLOOKUP(AI70,$AM$5:$AQ$12,5,TRUE)</f>
        <v>42-085</v>
      </c>
      <c r="P70" s="56" t="str">
        <f t="shared" ref="P70:P133" si="36">VLOOKUP(AJ70,$AM$5:$AQ$12,5,TRUE)</f>
        <v>42-084</v>
      </c>
      <c r="Q70" s="56" t="str">
        <f t="shared" ref="Q70:Q133" si="37">VLOOKUP(AK70,$AM$5:$AQ$12,5,TRUE)</f>
        <v>42-085</v>
      </c>
      <c r="R70" s="37">
        <v>225</v>
      </c>
      <c r="S70" s="57">
        <v>44.5</v>
      </c>
      <c r="T70" s="57">
        <v>18.7</v>
      </c>
      <c r="U70" s="37">
        <v>1363</v>
      </c>
      <c r="V70" s="37">
        <v>26.4</v>
      </c>
      <c r="W70" s="37">
        <v>47</v>
      </c>
      <c r="X70" s="37">
        <f t="shared" si="27"/>
        <v>28.96454659949622</v>
      </c>
      <c r="Y70" s="37">
        <f t="shared" si="28"/>
        <v>42.990239294710328</v>
      </c>
      <c r="Z70" s="57">
        <v>55</v>
      </c>
      <c r="AA70" s="57">
        <v>95</v>
      </c>
      <c r="AB70" s="37">
        <f t="shared" ref="AB70:AB133" si="38">R70+U70</f>
        <v>1588</v>
      </c>
      <c r="AC70" s="37">
        <f t="shared" ref="AC70:AC88" si="39">1-AD70</f>
        <v>0.47337188000915964</v>
      </c>
      <c r="AD70" s="37">
        <f t="shared" ref="AD70:AD88" si="40">(X70/Z70)</f>
        <v>0.52662811999084036</v>
      </c>
      <c r="AE70" s="37">
        <f t="shared" ref="AE70:AE88" si="41">1-AF70</f>
        <v>0.54747116531883866</v>
      </c>
      <c r="AF70" s="37">
        <f t="shared" si="29"/>
        <v>0.45252883468116134</v>
      </c>
      <c r="AG70" s="37">
        <v>1</v>
      </c>
      <c r="AH70" s="37">
        <f t="shared" ref="AH70:AH88" si="42">AB70*AC70*AE70*AG70</f>
        <v>411.54203818712114</v>
      </c>
      <c r="AI70" s="37">
        <f t="shared" ref="AI70:AI88" si="43">AB70*AD70*AE70*AG70</f>
        <v>457.84217233919463</v>
      </c>
      <c r="AJ70" s="37">
        <f t="shared" ref="AJ70:AJ88" si="44">AB70*AC70*AF70*AG70</f>
        <v>340.17250726742435</v>
      </c>
      <c r="AK70" s="37">
        <f t="shared" ref="AK70:AK88" si="45">AB70*AD70*AF70*AG70</f>
        <v>378.44328220625988</v>
      </c>
      <c r="AL70" s="2"/>
    </row>
    <row r="71" spans="2:38" ht="15" x14ac:dyDescent="0.25">
      <c r="B71" s="37" t="s">
        <v>32</v>
      </c>
      <c r="C71" s="37" t="s">
        <v>74</v>
      </c>
      <c r="D71" s="37">
        <v>25</v>
      </c>
      <c r="E71" s="51" t="s">
        <v>45</v>
      </c>
      <c r="F71" s="37" t="str">
        <f t="shared" si="30"/>
        <v>6219K88</v>
      </c>
      <c r="G71" s="37" t="str">
        <f t="shared" si="31"/>
        <v>6219K74</v>
      </c>
      <c r="H71" s="37" t="str">
        <f t="shared" si="32"/>
        <v>6219K87</v>
      </c>
      <c r="I71" s="37" t="str">
        <f t="shared" si="33"/>
        <v>6219K88</v>
      </c>
      <c r="J71" s="56" t="str">
        <f t="shared" si="26"/>
        <v>C-B-750</v>
      </c>
      <c r="K71" s="56" t="str">
        <f t="shared" si="25"/>
        <v>C-B-750</v>
      </c>
      <c r="L71" s="56" t="str">
        <f t="shared" si="25"/>
        <v>C-B-450</v>
      </c>
      <c r="M71" s="56" t="str">
        <f t="shared" si="25"/>
        <v>C-B-450</v>
      </c>
      <c r="N71" s="56" t="str">
        <f t="shared" si="34"/>
        <v>42-085</v>
      </c>
      <c r="O71" s="56" t="str">
        <f t="shared" si="35"/>
        <v>See ENG</v>
      </c>
      <c r="P71" s="56" t="str">
        <f t="shared" si="36"/>
        <v>42-084</v>
      </c>
      <c r="Q71" s="56" t="str">
        <f t="shared" si="37"/>
        <v>42-085</v>
      </c>
      <c r="R71" s="37">
        <v>327</v>
      </c>
      <c r="S71" s="57">
        <v>44.5</v>
      </c>
      <c r="T71" s="57">
        <v>18.7</v>
      </c>
      <c r="U71" s="37">
        <v>1509</v>
      </c>
      <c r="V71" s="37">
        <v>26.4</v>
      </c>
      <c r="W71" s="37">
        <v>45.7</v>
      </c>
      <c r="X71" s="37">
        <f t="shared" si="27"/>
        <v>29.623692810457516</v>
      </c>
      <c r="Y71" s="37">
        <f t="shared" si="28"/>
        <v>40.891176470588235</v>
      </c>
      <c r="Z71" s="57">
        <v>55</v>
      </c>
      <c r="AA71" s="57">
        <v>95</v>
      </c>
      <c r="AB71" s="37">
        <f t="shared" si="38"/>
        <v>1836</v>
      </c>
      <c r="AC71" s="37">
        <f t="shared" si="39"/>
        <v>0.46138740344622697</v>
      </c>
      <c r="AD71" s="37">
        <f t="shared" si="40"/>
        <v>0.53861259655377303</v>
      </c>
      <c r="AE71" s="37">
        <f t="shared" si="41"/>
        <v>0.56956656346749224</v>
      </c>
      <c r="AF71" s="37">
        <f t="shared" si="29"/>
        <v>0.43043343653250771</v>
      </c>
      <c r="AG71" s="37">
        <v>1</v>
      </c>
      <c r="AH71" s="37">
        <f t="shared" si="42"/>
        <v>482.48397821559246</v>
      </c>
      <c r="AI71" s="37">
        <f t="shared" si="43"/>
        <v>563.24023231072329</v>
      </c>
      <c r="AJ71" s="37">
        <f t="shared" si="44"/>
        <v>364.62329451168023</v>
      </c>
      <c r="AK71" s="37">
        <f t="shared" si="45"/>
        <v>425.65249496200391</v>
      </c>
      <c r="AL71" s="2"/>
    </row>
    <row r="72" spans="2:38" ht="15" x14ac:dyDescent="0.25">
      <c r="B72" s="37" t="s">
        <v>32</v>
      </c>
      <c r="C72" s="37" t="s">
        <v>83</v>
      </c>
      <c r="D72" s="37">
        <v>25</v>
      </c>
      <c r="E72" s="51" t="s">
        <v>45</v>
      </c>
      <c r="F72" s="37" t="str">
        <f t="shared" si="30"/>
        <v>6219K88</v>
      </c>
      <c r="G72" s="37" t="str">
        <f t="shared" si="31"/>
        <v>6219K74</v>
      </c>
      <c r="H72" s="37" t="str">
        <f t="shared" si="32"/>
        <v>6219K87</v>
      </c>
      <c r="I72" s="37" t="str">
        <f t="shared" si="33"/>
        <v>6219K87</v>
      </c>
      <c r="J72" s="56" t="str">
        <f t="shared" si="26"/>
        <v>C-B-450</v>
      </c>
      <c r="K72" s="56" t="str">
        <f t="shared" si="25"/>
        <v>C-B-750</v>
      </c>
      <c r="L72" s="56" t="str">
        <f t="shared" si="25"/>
        <v>C-B-450</v>
      </c>
      <c r="M72" s="56" t="str">
        <f t="shared" si="25"/>
        <v>C-B-450</v>
      </c>
      <c r="N72" s="56" t="str">
        <f t="shared" si="34"/>
        <v>42-085</v>
      </c>
      <c r="O72" s="56" t="str">
        <f t="shared" si="35"/>
        <v>See ENG</v>
      </c>
      <c r="P72" s="56" t="str">
        <f t="shared" si="36"/>
        <v>42-084</v>
      </c>
      <c r="Q72" s="56" t="str">
        <f t="shared" si="37"/>
        <v>42-084</v>
      </c>
      <c r="R72" s="37">
        <v>327</v>
      </c>
      <c r="S72" s="57">
        <v>44.5</v>
      </c>
      <c r="T72" s="57">
        <v>18.7</v>
      </c>
      <c r="U72" s="57">
        <v>1281</v>
      </c>
      <c r="V72" s="57">
        <v>26.1</v>
      </c>
      <c r="W72" s="57">
        <v>42.5</v>
      </c>
      <c r="X72" s="37">
        <f t="shared" si="27"/>
        <v>29.841791044776119</v>
      </c>
      <c r="Y72" s="37">
        <f t="shared" si="28"/>
        <v>37.660074626865672</v>
      </c>
      <c r="Z72" s="57">
        <v>55</v>
      </c>
      <c r="AA72" s="57">
        <v>95</v>
      </c>
      <c r="AB72" s="37">
        <f t="shared" si="38"/>
        <v>1608</v>
      </c>
      <c r="AC72" s="37">
        <f t="shared" si="39"/>
        <v>0.45742198100407061</v>
      </c>
      <c r="AD72" s="37">
        <f t="shared" si="40"/>
        <v>0.54257801899592939</v>
      </c>
      <c r="AE72" s="37">
        <f t="shared" si="41"/>
        <v>0.6035781618224666</v>
      </c>
      <c r="AF72" s="37">
        <f t="shared" si="29"/>
        <v>0.3964218381775334</v>
      </c>
      <c r="AG72" s="37">
        <v>1</v>
      </c>
      <c r="AH72" s="37">
        <f t="shared" si="42"/>
        <v>443.95258890237812</v>
      </c>
      <c r="AI72" s="37">
        <f t="shared" si="43"/>
        <v>526.60109530814816</v>
      </c>
      <c r="AJ72" s="37">
        <f t="shared" si="44"/>
        <v>291.58195655216741</v>
      </c>
      <c r="AK72" s="37">
        <f t="shared" si="45"/>
        <v>345.86435923730625</v>
      </c>
      <c r="AL72" s="2"/>
    </row>
    <row r="73" spans="2:38" ht="15" x14ac:dyDescent="0.25">
      <c r="B73" s="37" t="s">
        <v>32</v>
      </c>
      <c r="C73" s="37" t="s">
        <v>84</v>
      </c>
      <c r="D73" s="37">
        <v>25</v>
      </c>
      <c r="E73" s="51" t="s">
        <v>45</v>
      </c>
      <c r="F73" s="37" t="str">
        <f t="shared" si="30"/>
        <v>6219K88</v>
      </c>
      <c r="G73" s="37" t="str">
        <f t="shared" si="31"/>
        <v>6219K88</v>
      </c>
      <c r="H73" s="37" t="str">
        <f t="shared" si="32"/>
        <v>6219K87</v>
      </c>
      <c r="I73" s="37" t="str">
        <f t="shared" si="33"/>
        <v>6219K88</v>
      </c>
      <c r="J73" s="56" t="str">
        <f t="shared" si="26"/>
        <v>C-B-450</v>
      </c>
      <c r="K73" s="56" t="str">
        <f t="shared" si="25"/>
        <v>C-B-750</v>
      </c>
      <c r="L73" s="56" t="str">
        <f t="shared" si="25"/>
        <v>C-B-450</v>
      </c>
      <c r="M73" s="56" t="str">
        <f t="shared" si="25"/>
        <v>C-B-450</v>
      </c>
      <c r="N73" s="56" t="str">
        <f t="shared" si="34"/>
        <v>42-085</v>
      </c>
      <c r="O73" s="56" t="str">
        <f t="shared" si="35"/>
        <v>42-085</v>
      </c>
      <c r="P73" s="56" t="str">
        <f t="shared" si="36"/>
        <v>42-084</v>
      </c>
      <c r="Q73" s="56" t="str">
        <f t="shared" si="37"/>
        <v>42-085</v>
      </c>
      <c r="R73" s="37">
        <v>327</v>
      </c>
      <c r="S73" s="57">
        <v>44.5</v>
      </c>
      <c r="T73" s="57">
        <v>18.7</v>
      </c>
      <c r="U73" s="37">
        <v>1363</v>
      </c>
      <c r="V73" s="37">
        <v>26.4</v>
      </c>
      <c r="W73" s="37">
        <v>47</v>
      </c>
      <c r="X73" s="37">
        <f t="shared" si="27"/>
        <v>29.902189349112426</v>
      </c>
      <c r="Y73" s="37">
        <f t="shared" si="28"/>
        <v>41.524201183431948</v>
      </c>
      <c r="Z73" s="57">
        <v>55</v>
      </c>
      <c r="AA73" s="57">
        <v>95</v>
      </c>
      <c r="AB73" s="37">
        <f t="shared" si="38"/>
        <v>1690</v>
      </c>
      <c r="AC73" s="37">
        <f t="shared" si="39"/>
        <v>0.45632383001613774</v>
      </c>
      <c r="AD73" s="37">
        <f t="shared" si="40"/>
        <v>0.54367616998386226</v>
      </c>
      <c r="AE73" s="37">
        <f t="shared" si="41"/>
        <v>0.56290314543755837</v>
      </c>
      <c r="AF73" s="37">
        <f t="shared" si="29"/>
        <v>0.43709685456244157</v>
      </c>
      <c r="AG73" s="37">
        <v>1</v>
      </c>
      <c r="AH73" s="37">
        <f t="shared" si="42"/>
        <v>434.10374153959401</v>
      </c>
      <c r="AI73" s="37">
        <f t="shared" si="43"/>
        <v>517.2025742498796</v>
      </c>
      <c r="AJ73" s="37">
        <f t="shared" si="44"/>
        <v>337.08353118767872</v>
      </c>
      <c r="AK73" s="37">
        <f t="shared" si="45"/>
        <v>401.61015302284756</v>
      </c>
      <c r="AL73" s="2"/>
    </row>
    <row r="74" spans="2:38" ht="15" x14ac:dyDescent="0.25">
      <c r="B74" s="37" t="s">
        <v>32</v>
      </c>
      <c r="C74" s="37" t="s">
        <v>74</v>
      </c>
      <c r="D74" s="37">
        <v>30</v>
      </c>
      <c r="E74" s="51" t="s">
        <v>45</v>
      </c>
      <c r="F74" s="37" t="str">
        <f t="shared" si="30"/>
        <v>6219K88</v>
      </c>
      <c r="G74" s="37" t="str">
        <f t="shared" si="31"/>
        <v>6219K74</v>
      </c>
      <c r="H74" s="37" t="str">
        <f t="shared" si="32"/>
        <v>6219K87</v>
      </c>
      <c r="I74" s="37" t="str">
        <f t="shared" si="33"/>
        <v>6219K88</v>
      </c>
      <c r="J74" s="56" t="str">
        <f t="shared" si="26"/>
        <v>C-B-750</v>
      </c>
      <c r="K74" s="56" t="str">
        <f t="shared" si="25"/>
        <v>C-B-750</v>
      </c>
      <c r="L74" s="56" t="str">
        <f t="shared" si="25"/>
        <v>C-B-450</v>
      </c>
      <c r="M74" s="56" t="str">
        <f t="shared" si="25"/>
        <v>C-B-450</v>
      </c>
      <c r="N74" s="56" t="str">
        <f t="shared" si="34"/>
        <v>42-085</v>
      </c>
      <c r="O74" s="56" t="str">
        <f t="shared" si="35"/>
        <v>See ENG</v>
      </c>
      <c r="P74" s="56" t="str">
        <f t="shared" si="36"/>
        <v>42-084</v>
      </c>
      <c r="Q74" s="56" t="str">
        <f t="shared" si="37"/>
        <v>42-085</v>
      </c>
      <c r="R74" s="37">
        <v>335</v>
      </c>
      <c r="S74" s="57">
        <v>44.5</v>
      </c>
      <c r="T74" s="57">
        <v>18.7</v>
      </c>
      <c r="U74" s="37">
        <v>1509</v>
      </c>
      <c r="V74" s="37">
        <v>26.4</v>
      </c>
      <c r="W74" s="37">
        <v>45.7</v>
      </c>
      <c r="X74" s="37">
        <f t="shared" si="27"/>
        <v>29.688232104121475</v>
      </c>
      <c r="Y74" s="37">
        <f t="shared" si="28"/>
        <v>40.794902386117137</v>
      </c>
      <c r="Z74" s="57">
        <v>55</v>
      </c>
      <c r="AA74" s="57">
        <v>95</v>
      </c>
      <c r="AB74" s="37">
        <f t="shared" si="38"/>
        <v>1844</v>
      </c>
      <c r="AC74" s="37">
        <f t="shared" si="39"/>
        <v>0.46021396174324591</v>
      </c>
      <c r="AD74" s="37">
        <f t="shared" si="40"/>
        <v>0.53978603825675409</v>
      </c>
      <c r="AE74" s="37">
        <f t="shared" si="41"/>
        <v>0.57057997488297751</v>
      </c>
      <c r="AF74" s="37">
        <f t="shared" si="29"/>
        <v>0.42942002511702249</v>
      </c>
      <c r="AG74" s="37">
        <v>1</v>
      </c>
      <c r="AH74" s="37">
        <f t="shared" si="42"/>
        <v>484.21387763028156</v>
      </c>
      <c r="AI74" s="37">
        <f t="shared" si="43"/>
        <v>567.93559605392898</v>
      </c>
      <c r="AJ74" s="37">
        <f t="shared" si="44"/>
        <v>364.42066782426389</v>
      </c>
      <c r="AK74" s="37">
        <f t="shared" si="45"/>
        <v>427.42985849152558</v>
      </c>
      <c r="AL74" s="2"/>
    </row>
    <row r="75" spans="2:38" ht="15" x14ac:dyDescent="0.25">
      <c r="B75" s="37" t="s">
        <v>32</v>
      </c>
      <c r="C75" s="37" t="s">
        <v>83</v>
      </c>
      <c r="D75" s="37">
        <v>30</v>
      </c>
      <c r="E75" s="51" t="s">
        <v>45</v>
      </c>
      <c r="F75" s="37" t="str">
        <f t="shared" si="30"/>
        <v>6219K88</v>
      </c>
      <c r="G75" s="37" t="str">
        <f t="shared" si="31"/>
        <v>6219K74</v>
      </c>
      <c r="H75" s="37" t="str">
        <f t="shared" si="32"/>
        <v>6219K87</v>
      </c>
      <c r="I75" s="37" t="str">
        <f t="shared" si="33"/>
        <v>6219K87</v>
      </c>
      <c r="J75" s="56" t="str">
        <f t="shared" si="26"/>
        <v>C-B-450</v>
      </c>
      <c r="K75" s="56" t="str">
        <f t="shared" si="25"/>
        <v>C-B-750</v>
      </c>
      <c r="L75" s="56" t="str">
        <f t="shared" si="25"/>
        <v>C-B-450</v>
      </c>
      <c r="M75" s="56" t="str">
        <f t="shared" si="25"/>
        <v>C-B-450</v>
      </c>
      <c r="N75" s="56" t="str">
        <f t="shared" si="34"/>
        <v>42-085</v>
      </c>
      <c r="O75" s="56" t="str">
        <f t="shared" si="35"/>
        <v>See ENG</v>
      </c>
      <c r="P75" s="56" t="str">
        <f t="shared" si="36"/>
        <v>42-084</v>
      </c>
      <c r="Q75" s="56" t="str">
        <f t="shared" si="37"/>
        <v>42-084</v>
      </c>
      <c r="R75" s="37">
        <v>335</v>
      </c>
      <c r="S75" s="57">
        <v>44.5</v>
      </c>
      <c r="T75" s="57">
        <v>18.7</v>
      </c>
      <c r="U75" s="57">
        <v>1281</v>
      </c>
      <c r="V75" s="57">
        <v>26.1</v>
      </c>
      <c r="W75" s="57">
        <v>42.5</v>
      </c>
      <c r="X75" s="37">
        <f t="shared" si="27"/>
        <v>29.914356435643562</v>
      </c>
      <c r="Y75" s="37">
        <f t="shared" si="28"/>
        <v>37.566212871287128</v>
      </c>
      <c r="Z75" s="57">
        <v>55</v>
      </c>
      <c r="AA75" s="57">
        <v>95</v>
      </c>
      <c r="AB75" s="37">
        <f t="shared" si="38"/>
        <v>1616</v>
      </c>
      <c r="AC75" s="37">
        <f t="shared" si="39"/>
        <v>0.45610261026102616</v>
      </c>
      <c r="AD75" s="37">
        <f t="shared" si="40"/>
        <v>0.54389738973897384</v>
      </c>
      <c r="AE75" s="37">
        <f t="shared" si="41"/>
        <v>0.60456618030224074</v>
      </c>
      <c r="AF75" s="37">
        <f t="shared" si="29"/>
        <v>0.39543381969775926</v>
      </c>
      <c r="AG75" s="37">
        <v>1</v>
      </c>
      <c r="AH75" s="37">
        <f t="shared" si="42"/>
        <v>445.60264806480649</v>
      </c>
      <c r="AI75" s="37">
        <f t="shared" si="43"/>
        <v>531.37629930361447</v>
      </c>
      <c r="AJ75" s="37">
        <f t="shared" si="44"/>
        <v>291.45917011701175</v>
      </c>
      <c r="AK75" s="37">
        <f t="shared" si="45"/>
        <v>347.56188251456723</v>
      </c>
      <c r="AL75" s="2"/>
    </row>
    <row r="76" spans="2:38" ht="15" x14ac:dyDescent="0.25">
      <c r="B76" s="37" t="s">
        <v>32</v>
      </c>
      <c r="C76" s="37" t="s">
        <v>84</v>
      </c>
      <c r="D76" s="37">
        <v>30</v>
      </c>
      <c r="E76" s="51" t="s">
        <v>45</v>
      </c>
      <c r="F76" s="37" t="str">
        <f t="shared" si="30"/>
        <v>6219K88</v>
      </c>
      <c r="G76" s="37" t="str">
        <f t="shared" si="31"/>
        <v>6219K74</v>
      </c>
      <c r="H76" s="37" t="str">
        <f t="shared" si="32"/>
        <v>6219K87</v>
      </c>
      <c r="I76" s="37" t="str">
        <f t="shared" si="33"/>
        <v>6219K88</v>
      </c>
      <c r="J76" s="56" t="str">
        <f t="shared" si="26"/>
        <v>C-B-450</v>
      </c>
      <c r="K76" s="56" t="str">
        <f t="shared" si="25"/>
        <v>C-B-750</v>
      </c>
      <c r="L76" s="56" t="str">
        <f t="shared" si="25"/>
        <v>C-B-450</v>
      </c>
      <c r="M76" s="56" t="str">
        <f t="shared" si="25"/>
        <v>C-B-450</v>
      </c>
      <c r="N76" s="56" t="str">
        <f t="shared" si="34"/>
        <v>42-085</v>
      </c>
      <c r="O76" s="56" t="str">
        <f t="shared" si="35"/>
        <v>See ENG</v>
      </c>
      <c r="P76" s="56" t="str">
        <f t="shared" si="36"/>
        <v>42-084</v>
      </c>
      <c r="Q76" s="56" t="str">
        <f t="shared" si="37"/>
        <v>42-085</v>
      </c>
      <c r="R76" s="37">
        <v>335</v>
      </c>
      <c r="S76" s="57">
        <v>44.5</v>
      </c>
      <c r="T76" s="57">
        <v>18.7</v>
      </c>
      <c r="U76" s="37">
        <v>1363</v>
      </c>
      <c r="V76" s="37">
        <v>26.4</v>
      </c>
      <c r="W76" s="37">
        <v>47</v>
      </c>
      <c r="X76" s="37">
        <f t="shared" si="27"/>
        <v>29.970965842167253</v>
      </c>
      <c r="Y76" s="37">
        <f t="shared" si="28"/>
        <v>41.416666666666664</v>
      </c>
      <c r="Z76" s="57">
        <v>55</v>
      </c>
      <c r="AA76" s="57">
        <v>95</v>
      </c>
      <c r="AB76" s="37">
        <f t="shared" si="38"/>
        <v>1698</v>
      </c>
      <c r="AC76" s="37">
        <f t="shared" si="39"/>
        <v>0.45507334832423174</v>
      </c>
      <c r="AD76" s="37">
        <f t="shared" si="40"/>
        <v>0.54492665167576826</v>
      </c>
      <c r="AE76" s="37">
        <f t="shared" si="41"/>
        <v>0.56403508771929833</v>
      </c>
      <c r="AF76" s="37">
        <f t="shared" si="29"/>
        <v>0.43596491228070172</v>
      </c>
      <c r="AG76" s="37">
        <v>1</v>
      </c>
      <c r="AH76" s="37">
        <f t="shared" si="42"/>
        <v>435.83811642743228</v>
      </c>
      <c r="AI76" s="37">
        <f t="shared" si="43"/>
        <v>521.89346251993629</v>
      </c>
      <c r="AJ76" s="37">
        <f t="shared" si="44"/>
        <v>336.8764290271132</v>
      </c>
      <c r="AK76" s="37">
        <f t="shared" si="45"/>
        <v>403.39199202551828</v>
      </c>
      <c r="AL76" s="2"/>
    </row>
    <row r="77" spans="2:38" ht="15" x14ac:dyDescent="0.25">
      <c r="B77" s="37" t="s">
        <v>32</v>
      </c>
      <c r="C77" s="37" t="s">
        <v>74</v>
      </c>
      <c r="D77" s="37">
        <v>40</v>
      </c>
      <c r="E77" s="51" t="s">
        <v>45</v>
      </c>
      <c r="F77" s="37" t="str">
        <f t="shared" si="30"/>
        <v>6219K88</v>
      </c>
      <c r="G77" s="37" t="str">
        <f t="shared" si="31"/>
        <v>6219K74</v>
      </c>
      <c r="H77" s="37" t="str">
        <f t="shared" si="32"/>
        <v>6219K87</v>
      </c>
      <c r="I77" s="37" t="str">
        <f t="shared" si="33"/>
        <v>6219K88</v>
      </c>
      <c r="J77" s="56" t="str">
        <f t="shared" si="26"/>
        <v>C-B-750</v>
      </c>
      <c r="K77" s="56" t="str">
        <f t="shared" si="25"/>
        <v>C-B-750</v>
      </c>
      <c r="L77" s="56" t="str">
        <f t="shared" si="25"/>
        <v>C-B-450</v>
      </c>
      <c r="M77" s="56" t="str">
        <f t="shared" si="25"/>
        <v>C-B-450</v>
      </c>
      <c r="N77" s="56" t="str">
        <f t="shared" si="34"/>
        <v>42-085</v>
      </c>
      <c r="O77" s="56" t="str">
        <f t="shared" si="35"/>
        <v>See ENG</v>
      </c>
      <c r="P77" s="56" t="str">
        <f t="shared" si="36"/>
        <v>42-084</v>
      </c>
      <c r="Q77" s="56" t="str">
        <f t="shared" si="37"/>
        <v>42-085</v>
      </c>
      <c r="R77" s="37">
        <v>396</v>
      </c>
      <c r="S77" s="57">
        <v>44.5</v>
      </c>
      <c r="T77" s="57">
        <v>18.7</v>
      </c>
      <c r="U77" s="37">
        <v>1509</v>
      </c>
      <c r="V77" s="37">
        <v>26.4</v>
      </c>
      <c r="W77" s="37">
        <v>45.7</v>
      </c>
      <c r="X77" s="37">
        <f t="shared" si="27"/>
        <v>30.162519685039371</v>
      </c>
      <c r="Y77" s="37">
        <f t="shared" si="28"/>
        <v>40.087401574803152</v>
      </c>
      <c r="Z77" s="57">
        <v>55</v>
      </c>
      <c r="AA77" s="57">
        <v>95</v>
      </c>
      <c r="AB77" s="37">
        <f t="shared" si="38"/>
        <v>1905</v>
      </c>
      <c r="AC77" s="37">
        <f t="shared" si="39"/>
        <v>0.45159055118110236</v>
      </c>
      <c r="AD77" s="37">
        <f t="shared" si="40"/>
        <v>0.54840944881889764</v>
      </c>
      <c r="AE77" s="37">
        <f t="shared" si="41"/>
        <v>0.57802735184417742</v>
      </c>
      <c r="AF77" s="37">
        <f t="shared" si="29"/>
        <v>0.42197264815582264</v>
      </c>
      <c r="AG77" s="37">
        <v>1</v>
      </c>
      <c r="AH77" s="37">
        <f t="shared" si="42"/>
        <v>497.26537024450892</v>
      </c>
      <c r="AI77" s="37">
        <f t="shared" si="43"/>
        <v>603.87673501864901</v>
      </c>
      <c r="AJ77" s="37">
        <f t="shared" si="44"/>
        <v>363.01462975549111</v>
      </c>
      <c r="AK77" s="37">
        <f t="shared" si="45"/>
        <v>440.84326498135101</v>
      </c>
      <c r="AL77" s="2"/>
    </row>
    <row r="78" spans="2:38" ht="15" x14ac:dyDescent="0.25">
      <c r="B78" s="37" t="s">
        <v>32</v>
      </c>
      <c r="C78" s="37" t="s">
        <v>83</v>
      </c>
      <c r="D78" s="37">
        <v>40</v>
      </c>
      <c r="E78" s="51" t="s">
        <v>45</v>
      </c>
      <c r="F78" s="37" t="str">
        <f t="shared" si="30"/>
        <v>6219K88</v>
      </c>
      <c r="G78" s="37" t="str">
        <f t="shared" si="31"/>
        <v>6219K74</v>
      </c>
      <c r="H78" s="37" t="str">
        <f t="shared" si="32"/>
        <v>6219K87</v>
      </c>
      <c r="I78" s="37" t="str">
        <f t="shared" si="33"/>
        <v>6219K87</v>
      </c>
      <c r="J78" s="56" t="str">
        <f t="shared" si="26"/>
        <v>C-B-750</v>
      </c>
      <c r="K78" s="56" t="str">
        <f t="shared" si="25"/>
        <v>C-B-750</v>
      </c>
      <c r="L78" s="56" t="str">
        <f t="shared" si="25"/>
        <v>C-B-450</v>
      </c>
      <c r="M78" s="56" t="str">
        <f t="shared" si="25"/>
        <v>C-B-450</v>
      </c>
      <c r="N78" s="56" t="str">
        <f t="shared" si="34"/>
        <v>42-085</v>
      </c>
      <c r="O78" s="56" t="str">
        <f t="shared" si="35"/>
        <v>See ENG</v>
      </c>
      <c r="P78" s="56" t="str">
        <f t="shared" si="36"/>
        <v>42-084</v>
      </c>
      <c r="Q78" s="56" t="str">
        <f t="shared" si="37"/>
        <v>42-084</v>
      </c>
      <c r="R78" s="37">
        <v>396</v>
      </c>
      <c r="S78" s="57">
        <v>44.5</v>
      </c>
      <c r="T78" s="57">
        <v>18.7</v>
      </c>
      <c r="U78" s="57">
        <v>1281</v>
      </c>
      <c r="V78" s="57">
        <v>26.1</v>
      </c>
      <c r="W78" s="57">
        <v>42.5</v>
      </c>
      <c r="X78" s="37">
        <f t="shared" si="27"/>
        <v>30.444901610017887</v>
      </c>
      <c r="Y78" s="37">
        <f t="shared" si="28"/>
        <v>36.879964221824686</v>
      </c>
      <c r="Z78" s="57">
        <v>55</v>
      </c>
      <c r="AA78" s="57">
        <v>95</v>
      </c>
      <c r="AB78" s="37">
        <f t="shared" si="38"/>
        <v>1677</v>
      </c>
      <c r="AC78" s="37">
        <f t="shared" si="39"/>
        <v>0.44645633436331111</v>
      </c>
      <c r="AD78" s="37">
        <f t="shared" si="40"/>
        <v>0.55354366563668889</v>
      </c>
      <c r="AE78" s="37">
        <f t="shared" si="41"/>
        <v>0.61178985029658217</v>
      </c>
      <c r="AF78" s="37">
        <f t="shared" si="29"/>
        <v>0.38821014970341777</v>
      </c>
      <c r="AG78" s="37">
        <v>1</v>
      </c>
      <c r="AH78" s="37">
        <f t="shared" si="42"/>
        <v>458.05151029778051</v>
      </c>
      <c r="AI78" s="37">
        <f t="shared" si="43"/>
        <v>567.92006864958773</v>
      </c>
      <c r="AJ78" s="37">
        <f t="shared" si="44"/>
        <v>290.6557624294922</v>
      </c>
      <c r="AK78" s="37">
        <f t="shared" si="45"/>
        <v>360.37265862313939</v>
      </c>
      <c r="AL78" s="2"/>
    </row>
    <row r="79" spans="2:38" ht="15" x14ac:dyDescent="0.25">
      <c r="B79" s="37" t="s">
        <v>32</v>
      </c>
      <c r="C79" s="37" t="s">
        <v>84</v>
      </c>
      <c r="D79" s="37">
        <v>40</v>
      </c>
      <c r="E79" s="51" t="s">
        <v>45</v>
      </c>
      <c r="F79" s="37" t="str">
        <f t="shared" si="30"/>
        <v>6219K88</v>
      </c>
      <c r="G79" s="37" t="str">
        <f t="shared" si="31"/>
        <v>6219K74</v>
      </c>
      <c r="H79" s="37" t="str">
        <f t="shared" si="32"/>
        <v>6219K87</v>
      </c>
      <c r="I79" s="37" t="str">
        <f t="shared" si="33"/>
        <v>6219K88</v>
      </c>
      <c r="J79" s="56" t="str">
        <f t="shared" si="26"/>
        <v>C-B-450</v>
      </c>
      <c r="K79" s="56" t="str">
        <f t="shared" si="25"/>
        <v>C-B-750</v>
      </c>
      <c r="L79" s="56" t="str">
        <f t="shared" si="25"/>
        <v>C-B-450</v>
      </c>
      <c r="M79" s="56" t="str">
        <f t="shared" si="25"/>
        <v>C-B-450</v>
      </c>
      <c r="N79" s="56" t="str">
        <f t="shared" si="34"/>
        <v>42-085</v>
      </c>
      <c r="O79" s="56" t="str">
        <f t="shared" si="35"/>
        <v>See ENG</v>
      </c>
      <c r="P79" s="56" t="str">
        <f t="shared" si="36"/>
        <v>42-084</v>
      </c>
      <c r="Q79" s="56" t="str">
        <f t="shared" si="37"/>
        <v>42-085</v>
      </c>
      <c r="R79" s="37">
        <v>396</v>
      </c>
      <c r="S79" s="57">
        <v>44.5</v>
      </c>
      <c r="T79" s="57">
        <v>18.7</v>
      </c>
      <c r="U79" s="37">
        <v>1363</v>
      </c>
      <c r="V79" s="37">
        <v>26.4</v>
      </c>
      <c r="W79" s="37">
        <v>47</v>
      </c>
      <c r="X79" s="37">
        <f t="shared" si="27"/>
        <v>30.474815235929505</v>
      </c>
      <c r="Y79" s="37">
        <f t="shared" si="28"/>
        <v>40.628880045480386</v>
      </c>
      <c r="Z79" s="57">
        <v>55</v>
      </c>
      <c r="AA79" s="57">
        <v>95</v>
      </c>
      <c r="AB79" s="37">
        <f t="shared" si="38"/>
        <v>1759</v>
      </c>
      <c r="AC79" s="37">
        <f t="shared" si="39"/>
        <v>0.44591245025582715</v>
      </c>
      <c r="AD79" s="37">
        <f t="shared" si="40"/>
        <v>0.55408754974417285</v>
      </c>
      <c r="AE79" s="37">
        <f t="shared" si="41"/>
        <v>0.57232757846862747</v>
      </c>
      <c r="AF79" s="37">
        <f t="shared" si="29"/>
        <v>0.42767242153137247</v>
      </c>
      <c r="AG79" s="37">
        <v>1</v>
      </c>
      <c r="AH79" s="37">
        <f t="shared" si="42"/>
        <v>448.91085944765263</v>
      </c>
      <c r="AI79" s="37">
        <f t="shared" si="43"/>
        <v>557.81335107866312</v>
      </c>
      <c r="AJ79" s="37">
        <f t="shared" si="44"/>
        <v>335.44914055234733</v>
      </c>
      <c r="AK79" s="37">
        <f t="shared" si="45"/>
        <v>416.82664892133687</v>
      </c>
      <c r="AL79" s="2"/>
    </row>
    <row r="80" spans="2:38" ht="15" x14ac:dyDescent="0.25">
      <c r="B80" s="37" t="s">
        <v>32</v>
      </c>
      <c r="C80" s="37" t="s">
        <v>74</v>
      </c>
      <c r="D80" s="37">
        <v>50</v>
      </c>
      <c r="E80" s="51" t="s">
        <v>45</v>
      </c>
      <c r="F80" s="37" t="str">
        <f t="shared" si="30"/>
        <v>6219K88</v>
      </c>
      <c r="G80" s="37" t="str">
        <f t="shared" si="31"/>
        <v>6219K74</v>
      </c>
      <c r="H80" s="37" t="str">
        <f t="shared" si="32"/>
        <v>6219K87</v>
      </c>
      <c r="I80" s="37" t="str">
        <f t="shared" si="33"/>
        <v>6219K88</v>
      </c>
      <c r="J80" s="56" t="str">
        <f t="shared" si="26"/>
        <v>C-B-750</v>
      </c>
      <c r="K80" s="56" t="str">
        <f t="shared" si="25"/>
        <v>C-B-750</v>
      </c>
      <c r="L80" s="56" t="str">
        <f t="shared" si="25"/>
        <v>C-B-450</v>
      </c>
      <c r="M80" s="56" t="str">
        <f t="shared" si="25"/>
        <v>C-B-750</v>
      </c>
      <c r="N80" s="56" t="str">
        <f t="shared" si="34"/>
        <v>42-085</v>
      </c>
      <c r="O80" s="56" t="str">
        <f t="shared" si="35"/>
        <v>See ENG</v>
      </c>
      <c r="P80" s="56" t="str">
        <f t="shared" si="36"/>
        <v>42-084</v>
      </c>
      <c r="Q80" s="56" t="str">
        <f t="shared" si="37"/>
        <v>42-085</v>
      </c>
      <c r="R80" s="37">
        <v>467</v>
      </c>
      <c r="S80" s="57">
        <v>44.5</v>
      </c>
      <c r="T80" s="57">
        <v>18.7</v>
      </c>
      <c r="U80" s="37">
        <v>1509</v>
      </c>
      <c r="V80" s="37">
        <v>26.4</v>
      </c>
      <c r="W80" s="37">
        <v>45.7</v>
      </c>
      <c r="X80" s="37">
        <f t="shared" si="27"/>
        <v>30.677682186234819</v>
      </c>
      <c r="Y80" s="37">
        <f t="shared" si="28"/>
        <v>39.318927125506072</v>
      </c>
      <c r="Z80" s="57">
        <v>55</v>
      </c>
      <c r="AA80" s="57">
        <v>95</v>
      </c>
      <c r="AB80" s="37">
        <f t="shared" si="38"/>
        <v>1976</v>
      </c>
      <c r="AC80" s="37">
        <f t="shared" si="39"/>
        <v>0.44222396025027599</v>
      </c>
      <c r="AD80" s="37">
        <f t="shared" si="40"/>
        <v>0.55777603974972401</v>
      </c>
      <c r="AE80" s="37">
        <f t="shared" si="41"/>
        <v>0.58611655657362027</v>
      </c>
      <c r="AF80" s="37">
        <f t="shared" si="29"/>
        <v>0.41388344342637973</v>
      </c>
      <c r="AG80" s="37">
        <v>1</v>
      </c>
      <c r="AH80" s="37">
        <f t="shared" si="42"/>
        <v>512.1688947968928</v>
      </c>
      <c r="AI80" s="37">
        <f t="shared" si="43"/>
        <v>645.99742099258083</v>
      </c>
      <c r="AJ80" s="37">
        <f t="shared" si="44"/>
        <v>361.66565065765258</v>
      </c>
      <c r="AK80" s="37">
        <f t="shared" si="45"/>
        <v>456.16803355287374</v>
      </c>
      <c r="AL80" s="2"/>
    </row>
    <row r="81" spans="2:38" ht="15" x14ac:dyDescent="0.25">
      <c r="B81" s="37" t="s">
        <v>32</v>
      </c>
      <c r="C81" s="37" t="s">
        <v>83</v>
      </c>
      <c r="D81" s="37">
        <v>50</v>
      </c>
      <c r="E81" s="51" t="s">
        <v>45</v>
      </c>
      <c r="F81" s="37" t="str">
        <f t="shared" si="30"/>
        <v>6219K88</v>
      </c>
      <c r="G81" s="37" t="str">
        <f t="shared" si="31"/>
        <v>6219K74</v>
      </c>
      <c r="H81" s="37" t="str">
        <f t="shared" si="32"/>
        <v>6219K87</v>
      </c>
      <c r="I81" s="37" t="str">
        <f t="shared" si="33"/>
        <v>6219K88</v>
      </c>
      <c r="J81" s="56" t="str">
        <f t="shared" si="26"/>
        <v>C-B-750</v>
      </c>
      <c r="K81" s="56" t="str">
        <f t="shared" si="25"/>
        <v>C-B-750</v>
      </c>
      <c r="L81" s="56" t="str">
        <f t="shared" si="25"/>
        <v>C-B-450</v>
      </c>
      <c r="M81" s="56" t="str">
        <f t="shared" si="25"/>
        <v>C-B-450</v>
      </c>
      <c r="N81" s="56" t="str">
        <f t="shared" si="34"/>
        <v>42-085</v>
      </c>
      <c r="O81" s="56" t="str">
        <f t="shared" si="35"/>
        <v>See ENG</v>
      </c>
      <c r="P81" s="56" t="str">
        <f t="shared" si="36"/>
        <v>42-084</v>
      </c>
      <c r="Q81" s="56" t="str">
        <f t="shared" si="37"/>
        <v>42-085</v>
      </c>
      <c r="R81" s="37">
        <v>467</v>
      </c>
      <c r="S81" s="57">
        <v>44.5</v>
      </c>
      <c r="T81" s="57">
        <v>18.7</v>
      </c>
      <c r="U81" s="57">
        <v>1281</v>
      </c>
      <c r="V81" s="57">
        <v>26.1</v>
      </c>
      <c r="W81" s="57">
        <v>42.5</v>
      </c>
      <c r="X81" s="37">
        <f t="shared" si="27"/>
        <v>31.015789473684208</v>
      </c>
      <c r="Y81" s="37">
        <f t="shared" si="28"/>
        <v>36.141533180778033</v>
      </c>
      <c r="Z81" s="57">
        <v>55</v>
      </c>
      <c r="AA81" s="57">
        <v>95</v>
      </c>
      <c r="AB81" s="37">
        <f t="shared" si="38"/>
        <v>1748</v>
      </c>
      <c r="AC81" s="37">
        <f t="shared" si="39"/>
        <v>0.43607655502392351</v>
      </c>
      <c r="AD81" s="37">
        <f t="shared" si="40"/>
        <v>0.56392344497607649</v>
      </c>
      <c r="AE81" s="37">
        <f t="shared" si="41"/>
        <v>0.61956280862338908</v>
      </c>
      <c r="AF81" s="37">
        <f t="shared" si="29"/>
        <v>0.38043719137661086</v>
      </c>
      <c r="AG81" s="37">
        <v>1</v>
      </c>
      <c r="AH81" s="37">
        <f t="shared" si="42"/>
        <v>472.2690729790985</v>
      </c>
      <c r="AI81" s="37">
        <f t="shared" si="43"/>
        <v>610.72671649458562</v>
      </c>
      <c r="AJ81" s="37">
        <f t="shared" si="44"/>
        <v>289.99274520271973</v>
      </c>
      <c r="AK81" s="37">
        <f t="shared" si="45"/>
        <v>375.01146532359604</v>
      </c>
      <c r="AL81" s="2"/>
    </row>
    <row r="82" spans="2:38" ht="15" x14ac:dyDescent="0.25">
      <c r="B82" s="37" t="s">
        <v>32</v>
      </c>
      <c r="C82" s="37" t="s">
        <v>84</v>
      </c>
      <c r="D82" s="37">
        <v>50</v>
      </c>
      <c r="E82" s="51" t="s">
        <v>45</v>
      </c>
      <c r="F82" s="37" t="str">
        <f t="shared" si="30"/>
        <v>6219K88</v>
      </c>
      <c r="G82" s="37" t="str">
        <f t="shared" si="31"/>
        <v>6219K74</v>
      </c>
      <c r="H82" s="37" t="str">
        <f t="shared" si="32"/>
        <v>6219K87</v>
      </c>
      <c r="I82" s="37" t="str">
        <f t="shared" si="33"/>
        <v>6219K88</v>
      </c>
      <c r="J82" s="56" t="str">
        <f t="shared" si="26"/>
        <v>C-B-750</v>
      </c>
      <c r="K82" s="56" t="str">
        <f t="shared" si="25"/>
        <v>C-B-750</v>
      </c>
      <c r="L82" s="56" t="str">
        <f t="shared" si="25"/>
        <v>C-B-450</v>
      </c>
      <c r="M82" s="56" t="str">
        <f t="shared" si="25"/>
        <v>C-B-450</v>
      </c>
      <c r="N82" s="56" t="str">
        <f t="shared" si="34"/>
        <v>42-085</v>
      </c>
      <c r="O82" s="56" t="str">
        <f t="shared" si="35"/>
        <v>See ENG</v>
      </c>
      <c r="P82" s="56" t="str">
        <f t="shared" si="36"/>
        <v>42-084</v>
      </c>
      <c r="Q82" s="56" t="str">
        <f t="shared" si="37"/>
        <v>42-085</v>
      </c>
      <c r="R82" s="37">
        <v>467</v>
      </c>
      <c r="S82" s="57">
        <v>44.5</v>
      </c>
      <c r="T82" s="57">
        <v>18.7</v>
      </c>
      <c r="U82" s="37">
        <v>1363</v>
      </c>
      <c r="V82" s="37">
        <v>26.4</v>
      </c>
      <c r="W82" s="37">
        <v>47</v>
      </c>
      <c r="X82" s="37">
        <f t="shared" si="27"/>
        <v>31.018961748633878</v>
      </c>
      <c r="Y82" s="37">
        <f t="shared" si="28"/>
        <v>39.778087431693983</v>
      </c>
      <c r="Z82" s="57">
        <v>55</v>
      </c>
      <c r="AA82" s="57">
        <v>95</v>
      </c>
      <c r="AB82" s="37">
        <f t="shared" si="38"/>
        <v>1830</v>
      </c>
      <c r="AC82" s="37">
        <f t="shared" si="39"/>
        <v>0.43601887729756583</v>
      </c>
      <c r="AD82" s="37">
        <f t="shared" si="40"/>
        <v>0.56398112270243417</v>
      </c>
      <c r="AE82" s="37">
        <f t="shared" si="41"/>
        <v>0.58128329019269498</v>
      </c>
      <c r="AF82" s="37">
        <f t="shared" si="29"/>
        <v>0.41871670980730508</v>
      </c>
      <c r="AG82" s="37">
        <v>1</v>
      </c>
      <c r="AH82" s="37">
        <f t="shared" si="42"/>
        <v>463.81439227442684</v>
      </c>
      <c r="AI82" s="37">
        <f t="shared" si="43"/>
        <v>599.93402877820495</v>
      </c>
      <c r="AJ82" s="37">
        <f t="shared" si="44"/>
        <v>334.10015318011864</v>
      </c>
      <c r="AK82" s="37">
        <f t="shared" si="45"/>
        <v>432.15142576724963</v>
      </c>
      <c r="AL82" s="2"/>
    </row>
    <row r="83" spans="2:38" ht="15" x14ac:dyDescent="0.25">
      <c r="B83" s="37" t="s">
        <v>32</v>
      </c>
      <c r="C83" s="37" t="s">
        <v>74</v>
      </c>
      <c r="D83" s="37">
        <v>60</v>
      </c>
      <c r="E83" s="51" t="s">
        <v>45</v>
      </c>
      <c r="F83" s="37" t="str">
        <f t="shared" si="30"/>
        <v>6219K74</v>
      </c>
      <c r="G83" s="37" t="str">
        <f t="shared" si="31"/>
        <v>See ENG</v>
      </c>
      <c r="H83" s="37" t="str">
        <f t="shared" si="32"/>
        <v>6219K87</v>
      </c>
      <c r="I83" s="37" t="str">
        <f t="shared" si="33"/>
        <v>6219K88</v>
      </c>
      <c r="J83" s="56" t="str">
        <f t="shared" si="26"/>
        <v>C-B-750</v>
      </c>
      <c r="K83" s="56" t="str">
        <f t="shared" si="25"/>
        <v>C-B-750</v>
      </c>
      <c r="L83" s="56" t="str">
        <f t="shared" si="25"/>
        <v>C-B-450</v>
      </c>
      <c r="M83" s="56" t="str">
        <f t="shared" si="25"/>
        <v>C-B-750</v>
      </c>
      <c r="N83" s="56" t="str">
        <f t="shared" si="34"/>
        <v>See ENG</v>
      </c>
      <c r="O83" s="56" t="str">
        <f t="shared" si="35"/>
        <v>See ENG</v>
      </c>
      <c r="P83" s="56" t="str">
        <f t="shared" si="36"/>
        <v>42-084</v>
      </c>
      <c r="Q83" s="56" t="str">
        <f t="shared" si="37"/>
        <v>42-085</v>
      </c>
      <c r="R83" s="37">
        <v>615</v>
      </c>
      <c r="S83" s="57">
        <v>44.5</v>
      </c>
      <c r="T83" s="57">
        <v>18.7</v>
      </c>
      <c r="U83" s="37">
        <v>1509</v>
      </c>
      <c r="V83" s="37">
        <v>26.4</v>
      </c>
      <c r="W83" s="37">
        <v>45.7</v>
      </c>
      <c r="X83" s="37">
        <f t="shared" si="27"/>
        <v>31.640819209039552</v>
      </c>
      <c r="Y83" s="37">
        <f t="shared" si="28"/>
        <v>37.882203389830508</v>
      </c>
      <c r="Z83" s="57">
        <v>55</v>
      </c>
      <c r="AA83" s="57">
        <v>95</v>
      </c>
      <c r="AB83" s="37">
        <f t="shared" si="38"/>
        <v>2124</v>
      </c>
      <c r="AC83" s="37">
        <f t="shared" si="39"/>
        <v>0.42471237801746264</v>
      </c>
      <c r="AD83" s="37">
        <f t="shared" si="40"/>
        <v>0.57528762198253736</v>
      </c>
      <c r="AE83" s="37">
        <f t="shared" si="41"/>
        <v>0.60123996431757365</v>
      </c>
      <c r="AF83" s="37">
        <f t="shared" si="29"/>
        <v>0.39876003568242641</v>
      </c>
      <c r="AG83" s="37">
        <v>1</v>
      </c>
      <c r="AH83" s="37">
        <f t="shared" si="42"/>
        <v>542.37201282945409</v>
      </c>
      <c r="AI83" s="37">
        <f t="shared" si="43"/>
        <v>734.66167138107232</v>
      </c>
      <c r="AJ83" s="37">
        <f t="shared" si="44"/>
        <v>359.71707807963656</v>
      </c>
      <c r="AK83" s="37">
        <f t="shared" si="45"/>
        <v>487.24923770983713</v>
      </c>
      <c r="AL83" s="2"/>
    </row>
    <row r="84" spans="2:38" ht="15" x14ac:dyDescent="0.25">
      <c r="B84" s="37" t="s">
        <v>32</v>
      </c>
      <c r="C84" s="37" t="s">
        <v>83</v>
      </c>
      <c r="D84" s="37">
        <v>60</v>
      </c>
      <c r="E84" s="51" t="s">
        <v>45</v>
      </c>
      <c r="F84" s="37" t="str">
        <f t="shared" si="30"/>
        <v>6219K88</v>
      </c>
      <c r="G84" s="37" t="str">
        <f t="shared" si="31"/>
        <v>See ENG</v>
      </c>
      <c r="H84" s="37" t="str">
        <f t="shared" si="32"/>
        <v>6219K87</v>
      </c>
      <c r="I84" s="37" t="str">
        <f t="shared" si="33"/>
        <v>6219K88</v>
      </c>
      <c r="J84" s="56" t="str">
        <f t="shared" si="26"/>
        <v>C-B-750</v>
      </c>
      <c r="K84" s="56" t="str">
        <f t="shared" ref="K84:K88" si="46">VLOOKUP(AI84,$AM$15:$AQ$18,3,TRUE)</f>
        <v>C-B-750</v>
      </c>
      <c r="L84" s="56" t="str">
        <f t="shared" ref="L84:L88" si="47">VLOOKUP(AJ84,$AM$15:$AQ$18,3,TRUE)</f>
        <v>C-B-450</v>
      </c>
      <c r="M84" s="56" t="str">
        <f t="shared" ref="M84:M88" si="48">VLOOKUP(AK84,$AM$15:$AQ$18,3,TRUE)</f>
        <v>C-B-450</v>
      </c>
      <c r="N84" s="56" t="str">
        <f t="shared" si="34"/>
        <v>42-085</v>
      </c>
      <c r="O84" s="56" t="str">
        <f t="shared" si="35"/>
        <v>See ENG</v>
      </c>
      <c r="P84" s="56" t="str">
        <f t="shared" si="36"/>
        <v>42-084</v>
      </c>
      <c r="Q84" s="56" t="str">
        <f t="shared" si="37"/>
        <v>42-085</v>
      </c>
      <c r="R84" s="37">
        <v>615</v>
      </c>
      <c r="S84" s="57">
        <v>44.5</v>
      </c>
      <c r="T84" s="57">
        <v>18.7</v>
      </c>
      <c r="U84" s="57">
        <v>1281</v>
      </c>
      <c r="V84" s="57">
        <v>26.1</v>
      </c>
      <c r="W84" s="57">
        <v>42.5</v>
      </c>
      <c r="X84" s="37">
        <f t="shared" si="27"/>
        <v>32.068354430379749</v>
      </c>
      <c r="Y84" s="37">
        <f t="shared" si="28"/>
        <v>34.780063291139243</v>
      </c>
      <c r="Z84" s="57">
        <v>55</v>
      </c>
      <c r="AA84" s="57">
        <v>95</v>
      </c>
      <c r="AB84" s="37">
        <f t="shared" si="38"/>
        <v>1896</v>
      </c>
      <c r="AC84" s="37">
        <f t="shared" si="39"/>
        <v>0.41693901035673187</v>
      </c>
      <c r="AD84" s="37">
        <f t="shared" si="40"/>
        <v>0.58306098964326813</v>
      </c>
      <c r="AE84" s="37">
        <f t="shared" si="41"/>
        <v>0.63389407061958691</v>
      </c>
      <c r="AF84" s="37">
        <f t="shared" si="29"/>
        <v>0.36610592938041309</v>
      </c>
      <c r="AG84" s="37">
        <v>1</v>
      </c>
      <c r="AH84" s="37">
        <f t="shared" si="42"/>
        <v>501.10363563684814</v>
      </c>
      <c r="AI84" s="37">
        <f t="shared" si="43"/>
        <v>700.75952225788865</v>
      </c>
      <c r="AJ84" s="37">
        <f t="shared" si="44"/>
        <v>289.41272799951548</v>
      </c>
      <c r="AK84" s="37">
        <f t="shared" si="45"/>
        <v>404.72411410574773</v>
      </c>
      <c r="AL84" s="2"/>
    </row>
    <row r="85" spans="2:38" ht="15" x14ac:dyDescent="0.25">
      <c r="B85" s="37" t="s">
        <v>32</v>
      </c>
      <c r="C85" s="37" t="s">
        <v>84</v>
      </c>
      <c r="D85" s="37">
        <v>60</v>
      </c>
      <c r="E85" s="51" t="s">
        <v>45</v>
      </c>
      <c r="F85" s="37" t="str">
        <f t="shared" si="30"/>
        <v>6219K88</v>
      </c>
      <c r="G85" s="37" t="str">
        <f t="shared" si="31"/>
        <v>6219K74</v>
      </c>
      <c r="H85" s="37" t="str">
        <f t="shared" si="32"/>
        <v>6219K87</v>
      </c>
      <c r="I85" s="37" t="str">
        <f t="shared" si="33"/>
        <v>6219K88</v>
      </c>
      <c r="J85" s="56" t="str">
        <f t="shared" si="26"/>
        <v>C-B-750</v>
      </c>
      <c r="K85" s="56" t="str">
        <f t="shared" si="46"/>
        <v>C-B-750</v>
      </c>
      <c r="L85" s="56" t="str">
        <f t="shared" si="47"/>
        <v>C-B-450</v>
      </c>
      <c r="M85" s="56" t="str">
        <f t="shared" si="48"/>
        <v>C-B-750</v>
      </c>
      <c r="N85" s="56" t="str">
        <f t="shared" si="34"/>
        <v>42-085</v>
      </c>
      <c r="O85" s="56" t="str">
        <f t="shared" si="35"/>
        <v>See ENG</v>
      </c>
      <c r="P85" s="56" t="str">
        <f t="shared" si="36"/>
        <v>42-084</v>
      </c>
      <c r="Q85" s="56" t="str">
        <f t="shared" si="37"/>
        <v>42-085</v>
      </c>
      <c r="R85" s="37">
        <v>615</v>
      </c>
      <c r="S85" s="57">
        <v>44.5</v>
      </c>
      <c r="T85" s="57">
        <v>18.7</v>
      </c>
      <c r="U85" s="37">
        <v>1363</v>
      </c>
      <c r="V85" s="37">
        <v>26.4</v>
      </c>
      <c r="W85" s="37">
        <v>47</v>
      </c>
      <c r="X85" s="37">
        <f t="shared" si="27"/>
        <v>32.027654196157734</v>
      </c>
      <c r="Y85" s="37">
        <f t="shared" si="28"/>
        <v>38.200960566228517</v>
      </c>
      <c r="Z85" s="57">
        <v>55</v>
      </c>
      <c r="AA85" s="57">
        <v>95</v>
      </c>
      <c r="AB85" s="37">
        <f t="shared" si="38"/>
        <v>1978</v>
      </c>
      <c r="AC85" s="37">
        <f t="shared" si="39"/>
        <v>0.41767901461531398</v>
      </c>
      <c r="AD85" s="37">
        <f t="shared" si="40"/>
        <v>0.58232098538468602</v>
      </c>
      <c r="AE85" s="37">
        <f t="shared" si="41"/>
        <v>0.59788462561864719</v>
      </c>
      <c r="AF85" s="37">
        <f t="shared" si="29"/>
        <v>0.40211537438135281</v>
      </c>
      <c r="AG85" s="37">
        <v>1</v>
      </c>
      <c r="AH85" s="37">
        <f t="shared" si="42"/>
        <v>493.95379761588003</v>
      </c>
      <c r="AI85" s="37">
        <f t="shared" si="43"/>
        <v>688.6619918578042</v>
      </c>
      <c r="AJ85" s="37">
        <f t="shared" si="44"/>
        <v>332.21529329321106</v>
      </c>
      <c r="AK85" s="37">
        <f t="shared" si="45"/>
        <v>463.16891723310482</v>
      </c>
      <c r="AL85" s="2"/>
    </row>
    <row r="86" spans="2:38" ht="15" x14ac:dyDescent="0.25">
      <c r="B86" s="37" t="s">
        <v>32</v>
      </c>
      <c r="C86" s="37" t="s">
        <v>74</v>
      </c>
      <c r="D86" s="37">
        <v>75</v>
      </c>
      <c r="E86" s="51" t="s">
        <v>45</v>
      </c>
      <c r="F86" s="37" t="str">
        <f t="shared" si="30"/>
        <v>6219K74</v>
      </c>
      <c r="G86" s="37" t="str">
        <f t="shared" si="31"/>
        <v>See ENG</v>
      </c>
      <c r="H86" s="37" t="str">
        <f t="shared" si="32"/>
        <v>6219K87</v>
      </c>
      <c r="I86" s="37" t="str">
        <f t="shared" si="33"/>
        <v>6219K88</v>
      </c>
      <c r="J86" s="56" t="str">
        <f t="shared" si="26"/>
        <v>C-B-750</v>
      </c>
      <c r="K86" s="56" t="str">
        <f t="shared" si="46"/>
        <v>C-B-1000</v>
      </c>
      <c r="L86" s="56" t="str">
        <f t="shared" si="47"/>
        <v>C-B-450</v>
      </c>
      <c r="M86" s="56" t="str">
        <f t="shared" si="48"/>
        <v>C-B-750</v>
      </c>
      <c r="N86" s="56" t="str">
        <f t="shared" si="34"/>
        <v>See ENG</v>
      </c>
      <c r="O86" s="56" t="str">
        <f t="shared" si="35"/>
        <v>See ENG</v>
      </c>
      <c r="P86" s="56" t="str">
        <f t="shared" si="36"/>
        <v>42-084</v>
      </c>
      <c r="Q86" s="56" t="str">
        <f t="shared" si="37"/>
        <v>42-085</v>
      </c>
      <c r="R86" s="37">
        <v>744</v>
      </c>
      <c r="S86" s="57">
        <v>44.5</v>
      </c>
      <c r="T86" s="57">
        <v>18.7</v>
      </c>
      <c r="U86" s="37">
        <v>1509</v>
      </c>
      <c r="V86" s="37">
        <v>26.4</v>
      </c>
      <c r="W86" s="37">
        <v>45.7</v>
      </c>
      <c r="X86" s="37">
        <f t="shared" si="27"/>
        <v>32.377097203728361</v>
      </c>
      <c r="Y86" s="37">
        <f t="shared" si="28"/>
        <v>36.783888149134491</v>
      </c>
      <c r="Z86" s="57">
        <v>55</v>
      </c>
      <c r="AA86" s="57">
        <v>95</v>
      </c>
      <c r="AB86" s="37">
        <f t="shared" si="38"/>
        <v>2253</v>
      </c>
      <c r="AC86" s="37">
        <f t="shared" si="39"/>
        <v>0.41132550538675705</v>
      </c>
      <c r="AD86" s="37">
        <f t="shared" si="40"/>
        <v>0.58867449461324295</v>
      </c>
      <c r="AE86" s="37">
        <f t="shared" si="41"/>
        <v>0.6128011773775317</v>
      </c>
      <c r="AF86" s="37">
        <f t="shared" si="29"/>
        <v>0.3871988226224683</v>
      </c>
      <c r="AG86" s="37">
        <v>1</v>
      </c>
      <c r="AH86" s="37">
        <f t="shared" si="42"/>
        <v>567.89287873138846</v>
      </c>
      <c r="AI86" s="37">
        <f t="shared" si="43"/>
        <v>812.74817390019041</v>
      </c>
      <c r="AJ86" s="37">
        <f t="shared" si="44"/>
        <v>358.8234849049752</v>
      </c>
      <c r="AK86" s="37">
        <f t="shared" si="45"/>
        <v>513.53546246344592</v>
      </c>
      <c r="AL86" s="2"/>
    </row>
    <row r="87" spans="2:38" ht="15" x14ac:dyDescent="0.25">
      <c r="B87" s="37" t="s">
        <v>32</v>
      </c>
      <c r="C87" s="37" t="s">
        <v>83</v>
      </c>
      <c r="D87" s="37">
        <v>75</v>
      </c>
      <c r="E87" s="51" t="s">
        <v>45</v>
      </c>
      <c r="F87" s="37" t="str">
        <f t="shared" si="30"/>
        <v>6219K74</v>
      </c>
      <c r="G87" s="37" t="str">
        <f t="shared" si="31"/>
        <v>See ENG</v>
      </c>
      <c r="H87" s="37" t="str">
        <f t="shared" si="32"/>
        <v>6219K87</v>
      </c>
      <c r="I87" s="37" t="str">
        <f t="shared" si="33"/>
        <v>6219K88</v>
      </c>
      <c r="J87" s="56" t="str">
        <f t="shared" si="26"/>
        <v>C-B-750</v>
      </c>
      <c r="K87" s="56" t="str">
        <f t="shared" si="46"/>
        <v>C-B-1000</v>
      </c>
      <c r="L87" s="56" t="str">
        <f t="shared" si="47"/>
        <v>C-B-450</v>
      </c>
      <c r="M87" s="56" t="str">
        <f t="shared" si="48"/>
        <v>C-B-450</v>
      </c>
      <c r="N87" s="56" t="str">
        <f t="shared" si="34"/>
        <v>See ENG</v>
      </c>
      <c r="O87" s="56" t="str">
        <f t="shared" si="35"/>
        <v>See ENG</v>
      </c>
      <c r="P87" s="56" t="str">
        <f t="shared" si="36"/>
        <v>42-084</v>
      </c>
      <c r="Q87" s="56" t="str">
        <f t="shared" si="37"/>
        <v>42-085</v>
      </c>
      <c r="R87" s="37">
        <v>744</v>
      </c>
      <c r="S87" s="57">
        <v>44.5</v>
      </c>
      <c r="T87" s="57">
        <v>18.7</v>
      </c>
      <c r="U87" s="57">
        <v>1281</v>
      </c>
      <c r="V87" s="57">
        <v>26.1</v>
      </c>
      <c r="W87" s="57">
        <v>42.5</v>
      </c>
      <c r="X87" s="37">
        <f t="shared" si="27"/>
        <v>32.860296296296298</v>
      </c>
      <c r="Y87" s="37">
        <f t="shared" si="28"/>
        <v>33.755703703703702</v>
      </c>
      <c r="Z87" s="57">
        <v>55</v>
      </c>
      <c r="AA87" s="57">
        <v>95</v>
      </c>
      <c r="AB87" s="37">
        <f t="shared" si="38"/>
        <v>2025</v>
      </c>
      <c r="AC87" s="37">
        <f t="shared" si="39"/>
        <v>0.40254006734006731</v>
      </c>
      <c r="AD87" s="37">
        <f t="shared" si="40"/>
        <v>0.59745993265993269</v>
      </c>
      <c r="AE87" s="37">
        <f t="shared" si="41"/>
        <v>0.6446768031189084</v>
      </c>
      <c r="AF87" s="37">
        <f t="shared" si="29"/>
        <v>0.3553231968810916</v>
      </c>
      <c r="AG87" s="37">
        <v>1</v>
      </c>
      <c r="AH87" s="37">
        <f t="shared" si="42"/>
        <v>525.50419357363103</v>
      </c>
      <c r="AI87" s="37">
        <f t="shared" si="43"/>
        <v>779.96633274215856</v>
      </c>
      <c r="AJ87" s="37">
        <f t="shared" si="44"/>
        <v>289.63944279000532</v>
      </c>
      <c r="AK87" s="37">
        <f t="shared" si="45"/>
        <v>429.89003089420521</v>
      </c>
      <c r="AL87" s="2"/>
    </row>
    <row r="88" spans="2:38" ht="15" x14ac:dyDescent="0.25">
      <c r="B88" s="37" t="s">
        <v>32</v>
      </c>
      <c r="C88" s="37" t="s">
        <v>84</v>
      </c>
      <c r="D88" s="37">
        <v>75</v>
      </c>
      <c r="E88" s="51" t="s">
        <v>45</v>
      </c>
      <c r="F88" s="37" t="str">
        <f t="shared" si="30"/>
        <v>6219K88</v>
      </c>
      <c r="G88" s="37" t="str">
        <f t="shared" si="31"/>
        <v>See ENG</v>
      </c>
      <c r="H88" s="37" t="str">
        <f t="shared" si="32"/>
        <v>6219K87</v>
      </c>
      <c r="I88" s="37" t="str">
        <f t="shared" si="33"/>
        <v>6219K88</v>
      </c>
      <c r="J88" s="56" t="str">
        <f t="shared" si="26"/>
        <v>C-B-750</v>
      </c>
      <c r="K88" s="56" t="str">
        <f t="shared" si="46"/>
        <v>C-B-1000</v>
      </c>
      <c r="L88" s="56" t="str">
        <f t="shared" si="47"/>
        <v>C-B-450</v>
      </c>
      <c r="M88" s="56" t="str">
        <f t="shared" si="48"/>
        <v>C-B-750</v>
      </c>
      <c r="N88" s="56" t="str">
        <f t="shared" si="34"/>
        <v>42-085</v>
      </c>
      <c r="O88" s="56" t="str">
        <f t="shared" si="35"/>
        <v>See ENG</v>
      </c>
      <c r="P88" s="56" t="str">
        <f t="shared" si="36"/>
        <v>42-084</v>
      </c>
      <c r="Q88" s="56" t="str">
        <f t="shared" si="37"/>
        <v>42-085</v>
      </c>
      <c r="R88" s="37">
        <v>744</v>
      </c>
      <c r="S88" s="57">
        <v>44.5</v>
      </c>
      <c r="T88" s="57">
        <v>18.7</v>
      </c>
      <c r="U88" s="37">
        <v>1363</v>
      </c>
      <c r="V88" s="37">
        <v>26.4</v>
      </c>
      <c r="W88" s="37">
        <v>47</v>
      </c>
      <c r="X88" s="37">
        <f t="shared" si="27"/>
        <v>32.791267204556242</v>
      </c>
      <c r="Y88" s="37">
        <f t="shared" si="28"/>
        <v>37.007024205030852</v>
      </c>
      <c r="Z88" s="57">
        <v>55</v>
      </c>
      <c r="AA88" s="57">
        <v>95</v>
      </c>
      <c r="AB88" s="37">
        <f t="shared" si="38"/>
        <v>2107</v>
      </c>
      <c r="AC88" s="37">
        <f t="shared" si="39"/>
        <v>0.40379514173534103</v>
      </c>
      <c r="AD88" s="37">
        <f t="shared" si="40"/>
        <v>0.59620485826465897</v>
      </c>
      <c r="AE88" s="37">
        <f t="shared" si="41"/>
        <v>0.61045237678914899</v>
      </c>
      <c r="AF88" s="37">
        <f t="shared" si="29"/>
        <v>0.38954762321085107</v>
      </c>
      <c r="AG88" s="37">
        <v>1</v>
      </c>
      <c r="AH88" s="37">
        <f t="shared" si="42"/>
        <v>519.37066234538327</v>
      </c>
      <c r="AI88" s="37">
        <f t="shared" si="43"/>
        <v>766.85249554935365</v>
      </c>
      <c r="AJ88" s="37">
        <f t="shared" si="44"/>
        <v>331.42570129098038</v>
      </c>
      <c r="AK88" s="37">
        <f t="shared" si="45"/>
        <v>489.35114081428281</v>
      </c>
      <c r="AL88" s="2"/>
    </row>
    <row r="89" spans="2:38" x14ac:dyDescent="0.2">
      <c r="B89" s="51" t="s">
        <v>27</v>
      </c>
      <c r="C89" s="51" t="s">
        <v>74</v>
      </c>
      <c r="D89" s="51">
        <v>3</v>
      </c>
      <c r="E89" s="51" t="s">
        <v>75</v>
      </c>
      <c r="F89" s="37" t="str">
        <f t="shared" si="30"/>
        <v>6219K84</v>
      </c>
      <c r="G89" s="37" t="str">
        <f t="shared" si="31"/>
        <v>6219K84</v>
      </c>
      <c r="H89" s="37" t="str">
        <f t="shared" si="32"/>
        <v>6219K72</v>
      </c>
      <c r="I89" s="37" t="str">
        <f t="shared" si="33"/>
        <v>6219K72</v>
      </c>
      <c r="J89" s="56" t="str">
        <f t="shared" ref="J89:J133" si="49">VLOOKUP(AH89,$AM$5:$AQ$12,3,TRUE)</f>
        <v>Tan</v>
      </c>
      <c r="K89" s="56" t="str">
        <f t="shared" ref="K89:K151" si="50">VLOOKUP(AI89,$AM$5:$AQ$12,3,TRUE)</f>
        <v>Tan</v>
      </c>
      <c r="L89" s="56" t="str">
        <f t="shared" ref="L89:L151" si="51">VLOOKUP(AJ89,$AM$5:$AQ$12,3,TRUE)</f>
        <v xml:space="preserve">Red </v>
      </c>
      <c r="M89" s="56" t="str">
        <f t="shared" ref="M89:M151" si="52">VLOOKUP(AK89,$AM$5:$AQ$12,3,TRUE)</f>
        <v xml:space="preserve">Red </v>
      </c>
      <c r="N89" s="56" t="str">
        <f t="shared" si="34"/>
        <v>42-081</v>
      </c>
      <c r="O89" s="56" t="str">
        <f t="shared" si="35"/>
        <v>42-081</v>
      </c>
      <c r="P89" s="56" t="str">
        <f t="shared" si="36"/>
        <v>42-082</v>
      </c>
      <c r="Q89" s="56" t="str">
        <f t="shared" si="37"/>
        <v>42-082</v>
      </c>
      <c r="R89" s="37">
        <v>75</v>
      </c>
      <c r="S89" s="37">
        <v>20.440000000000001</v>
      </c>
      <c r="T89" s="37">
        <v>9.68</v>
      </c>
      <c r="U89" s="37">
        <v>299.29000000000002</v>
      </c>
      <c r="V89" s="37">
        <v>17.03</v>
      </c>
      <c r="W89" s="37">
        <v>32.4</v>
      </c>
      <c r="X89" s="37">
        <f t="shared" si="27"/>
        <v>17.713293702743862</v>
      </c>
      <c r="Y89" s="37">
        <f t="shared" si="28"/>
        <v>27.847380373507175</v>
      </c>
      <c r="Z89" s="37">
        <v>33.18</v>
      </c>
      <c r="AA89" s="37">
        <v>47.5</v>
      </c>
      <c r="AB89" s="37">
        <f t="shared" si="38"/>
        <v>374.29</v>
      </c>
      <c r="AC89" s="37">
        <f>1-AD89</f>
        <v>0.46614545802459728</v>
      </c>
      <c r="AD89" s="37">
        <f>(X89/Z89)</f>
        <v>0.53385454197540272</v>
      </c>
      <c r="AE89" s="37">
        <f>1-AF89</f>
        <v>0.41373936055774374</v>
      </c>
      <c r="AF89" s="37">
        <f t="shared" si="29"/>
        <v>0.58626063944225626</v>
      </c>
      <c r="AG89" s="37">
        <v>1</v>
      </c>
      <c r="AH89" s="37">
        <f>AB89*AC89*AE89*AG89</f>
        <v>72.186588864899264</v>
      </c>
      <c r="AI89" s="37">
        <f>AB89*AD89*AE89*AG89</f>
        <v>82.671916398258659</v>
      </c>
      <c r="AJ89" s="37">
        <f>AB89*AC89*AF89*AG89</f>
        <v>102.28699461912727</v>
      </c>
      <c r="AK89" s="37">
        <f>AB89*AD89*AF89*AG89</f>
        <v>117.14450011771483</v>
      </c>
      <c r="AL89" s="2"/>
    </row>
    <row r="90" spans="2:38" x14ac:dyDescent="0.2">
      <c r="B90" s="51" t="s">
        <v>27</v>
      </c>
      <c r="C90" s="51" t="s">
        <v>83</v>
      </c>
      <c r="D90" s="51">
        <v>3</v>
      </c>
      <c r="E90" s="51" t="s">
        <v>75</v>
      </c>
      <c r="F90" s="37" t="str">
        <f t="shared" si="30"/>
        <v>6219K84</v>
      </c>
      <c r="G90" s="37" t="str">
        <f t="shared" si="31"/>
        <v>6219K84</v>
      </c>
      <c r="H90" s="37" t="str">
        <f t="shared" si="32"/>
        <v>6219K72</v>
      </c>
      <c r="I90" s="37" t="str">
        <f t="shared" si="33"/>
        <v>6219K72</v>
      </c>
      <c r="J90" s="56" t="str">
        <f t="shared" si="49"/>
        <v>Tan</v>
      </c>
      <c r="K90" s="56" t="str">
        <f t="shared" si="50"/>
        <v>Tan</v>
      </c>
      <c r="L90" s="56" t="str">
        <f t="shared" si="51"/>
        <v xml:space="preserve">Red </v>
      </c>
      <c r="M90" s="56" t="str">
        <f t="shared" si="52"/>
        <v xml:space="preserve">Red </v>
      </c>
      <c r="N90" s="56" t="str">
        <f t="shared" si="34"/>
        <v>42-081</v>
      </c>
      <c r="O90" s="56" t="str">
        <f t="shared" si="35"/>
        <v>42-081</v>
      </c>
      <c r="P90" s="56" t="str">
        <f t="shared" si="36"/>
        <v>42-082</v>
      </c>
      <c r="Q90" s="56" t="str">
        <f t="shared" si="37"/>
        <v>42-082</v>
      </c>
      <c r="R90" s="37">
        <v>75</v>
      </c>
      <c r="S90" s="37">
        <v>20.440000000000001</v>
      </c>
      <c r="T90" s="37">
        <v>9.68</v>
      </c>
      <c r="U90" s="37">
        <v>299.29000000000002</v>
      </c>
      <c r="V90" s="37">
        <v>17.03</v>
      </c>
      <c r="W90" s="37">
        <v>32.4</v>
      </c>
      <c r="X90" s="37">
        <f t="shared" si="27"/>
        <v>17.713293702743862</v>
      </c>
      <c r="Y90" s="37">
        <f t="shared" si="28"/>
        <v>27.847380373507175</v>
      </c>
      <c r="Z90" s="37">
        <v>33.18</v>
      </c>
      <c r="AA90" s="37">
        <v>47.5</v>
      </c>
      <c r="AB90" s="37">
        <f t="shared" si="38"/>
        <v>374.29</v>
      </c>
      <c r="AC90" s="37">
        <f t="shared" ref="AC90:AC153" si="53">1-AD90</f>
        <v>0.46614545802459728</v>
      </c>
      <c r="AD90" s="37">
        <f t="shared" ref="AD90:AD153" si="54">(X90/Z90)</f>
        <v>0.53385454197540272</v>
      </c>
      <c r="AE90" s="37">
        <f t="shared" ref="AE90:AE153" si="55">1-AF90</f>
        <v>0.41373936055774374</v>
      </c>
      <c r="AF90" s="37">
        <f t="shared" si="29"/>
        <v>0.58626063944225626</v>
      </c>
      <c r="AG90" s="37">
        <v>1</v>
      </c>
      <c r="AH90" s="37">
        <f t="shared" ref="AH90:AH153" si="56">AB90*AC90*AE90*AG90</f>
        <v>72.186588864899264</v>
      </c>
      <c r="AI90" s="37">
        <f t="shared" ref="AI90:AI153" si="57">AB90*AD90*AE90*AG90</f>
        <v>82.671916398258659</v>
      </c>
      <c r="AJ90" s="37">
        <f t="shared" ref="AJ90:AJ153" si="58">AB90*AC90*AF90*AG90</f>
        <v>102.28699461912727</v>
      </c>
      <c r="AK90" s="37">
        <f t="shared" ref="AK90:AK153" si="59">AB90*AD90*AF90*AG90</f>
        <v>117.14450011771483</v>
      </c>
      <c r="AL90" s="2"/>
    </row>
    <row r="91" spans="2:38" x14ac:dyDescent="0.2">
      <c r="B91" s="51" t="s">
        <v>27</v>
      </c>
      <c r="C91" s="51" t="s">
        <v>84</v>
      </c>
      <c r="D91" s="51">
        <v>3</v>
      </c>
      <c r="E91" s="51" t="s">
        <v>75</v>
      </c>
      <c r="F91" s="37" t="str">
        <f t="shared" si="30"/>
        <v>6219K84</v>
      </c>
      <c r="G91" s="37" t="str">
        <f t="shared" si="31"/>
        <v>6219K84</v>
      </c>
      <c r="H91" s="37" t="str">
        <f t="shared" si="32"/>
        <v>6219K84</v>
      </c>
      <c r="I91" s="37" t="str">
        <f t="shared" si="33"/>
        <v>6219K84</v>
      </c>
      <c r="J91" s="56" t="str">
        <f t="shared" si="49"/>
        <v>Tan</v>
      </c>
      <c r="K91" s="56" t="str">
        <f t="shared" si="50"/>
        <v>Tan</v>
      </c>
      <c r="L91" s="56" t="str">
        <f t="shared" si="51"/>
        <v>Tan</v>
      </c>
      <c r="M91" s="56" t="str">
        <f t="shared" si="52"/>
        <v>Tan</v>
      </c>
      <c r="N91" s="56" t="str">
        <f t="shared" si="34"/>
        <v>42-081</v>
      </c>
      <c r="O91" s="56" t="str">
        <f t="shared" si="35"/>
        <v>42-081</v>
      </c>
      <c r="P91" s="56" t="str">
        <f t="shared" si="36"/>
        <v>42-081</v>
      </c>
      <c r="Q91" s="56" t="str">
        <f t="shared" si="37"/>
        <v>42-081</v>
      </c>
      <c r="R91" s="37">
        <v>75</v>
      </c>
      <c r="S91" s="37">
        <v>20.440000000000001</v>
      </c>
      <c r="T91" s="37">
        <v>9.68</v>
      </c>
      <c r="U91" s="37">
        <v>278.39</v>
      </c>
      <c r="V91" s="37">
        <v>16.77</v>
      </c>
      <c r="W91" s="37">
        <v>28.74</v>
      </c>
      <c r="X91" s="37">
        <f t="shared" si="27"/>
        <v>17.548884518520616</v>
      </c>
      <c r="Y91" s="37">
        <f t="shared" si="28"/>
        <v>24.694894026429722</v>
      </c>
      <c r="Z91" s="37">
        <v>33.18</v>
      </c>
      <c r="AA91" s="37">
        <v>47.5</v>
      </c>
      <c r="AB91" s="37">
        <f t="shared" si="38"/>
        <v>353.39</v>
      </c>
      <c r="AC91" s="37">
        <f t="shared" si="53"/>
        <v>0.47110052686797421</v>
      </c>
      <c r="AD91" s="37">
        <f t="shared" si="54"/>
        <v>0.52889947313202579</v>
      </c>
      <c r="AE91" s="37">
        <f t="shared" si="55"/>
        <v>0.48010749418042686</v>
      </c>
      <c r="AF91" s="37">
        <f t="shared" si="29"/>
        <v>0.51989250581957314</v>
      </c>
      <c r="AG91" s="37">
        <v>1</v>
      </c>
      <c r="AH91" s="37">
        <f t="shared" si="56"/>
        <v>79.929359160416709</v>
      </c>
      <c r="AI91" s="37">
        <f t="shared" si="57"/>
        <v>89.735828208004335</v>
      </c>
      <c r="AJ91" s="37">
        <f t="shared" si="58"/>
        <v>86.552856029456677</v>
      </c>
      <c r="AK91" s="37">
        <f t="shared" si="59"/>
        <v>97.171956602122265</v>
      </c>
      <c r="AL91" s="2"/>
    </row>
    <row r="92" spans="2:38" x14ac:dyDescent="0.2">
      <c r="B92" s="51" t="s">
        <v>27</v>
      </c>
      <c r="C92" s="51" t="s">
        <v>74</v>
      </c>
      <c r="D92" s="51">
        <v>5</v>
      </c>
      <c r="E92" s="51" t="s">
        <v>75</v>
      </c>
      <c r="F92" s="37" t="str">
        <f t="shared" si="30"/>
        <v>6219K84</v>
      </c>
      <c r="G92" s="37" t="str">
        <f t="shared" si="31"/>
        <v>6219K84</v>
      </c>
      <c r="H92" s="37" t="str">
        <f t="shared" si="32"/>
        <v>6219K72</v>
      </c>
      <c r="I92" s="37" t="str">
        <f t="shared" si="33"/>
        <v>6219K72</v>
      </c>
      <c r="J92" s="56" t="str">
        <f t="shared" si="49"/>
        <v>Tan</v>
      </c>
      <c r="K92" s="56" t="str">
        <f t="shared" si="50"/>
        <v>Tan</v>
      </c>
      <c r="L92" s="56" t="str">
        <f t="shared" si="51"/>
        <v xml:space="preserve">Red </v>
      </c>
      <c r="M92" s="56" t="str">
        <f t="shared" si="52"/>
        <v xml:space="preserve">Red </v>
      </c>
      <c r="N92" s="56" t="str">
        <f t="shared" si="34"/>
        <v>42-081</v>
      </c>
      <c r="O92" s="56" t="str">
        <f t="shared" si="35"/>
        <v>42-081</v>
      </c>
      <c r="P92" s="56" t="str">
        <f t="shared" si="36"/>
        <v>42-082</v>
      </c>
      <c r="Q92" s="56" t="str">
        <f t="shared" si="37"/>
        <v>42-082</v>
      </c>
      <c r="R92" s="37">
        <v>91</v>
      </c>
      <c r="S92" s="37">
        <v>20.440000000000001</v>
      </c>
      <c r="T92" s="37">
        <v>9.68</v>
      </c>
      <c r="U92" s="37">
        <v>299.29000000000002</v>
      </c>
      <c r="V92" s="37">
        <v>17.03</v>
      </c>
      <c r="W92" s="37">
        <v>32.4</v>
      </c>
      <c r="X92" s="37">
        <f t="shared" si="27"/>
        <v>17.825075456711676</v>
      </c>
      <c r="Y92" s="37">
        <f t="shared" si="28"/>
        <v>27.102605754695226</v>
      </c>
      <c r="Z92" s="37">
        <v>33.18</v>
      </c>
      <c r="AA92" s="37">
        <v>47.5</v>
      </c>
      <c r="AB92" s="37">
        <f t="shared" si="38"/>
        <v>390.29</v>
      </c>
      <c r="AC92" s="37">
        <f t="shared" si="53"/>
        <v>0.46277650823653782</v>
      </c>
      <c r="AD92" s="37">
        <f t="shared" si="54"/>
        <v>0.53722349176346218</v>
      </c>
      <c r="AE92" s="37">
        <f t="shared" si="55"/>
        <v>0.42941882621694261</v>
      </c>
      <c r="AF92" s="37">
        <f t="shared" si="29"/>
        <v>0.57058117378305739</v>
      </c>
      <c r="AG92" s="37">
        <v>1</v>
      </c>
      <c r="AH92" s="37">
        <f t="shared" si="56"/>
        <v>77.560358771447284</v>
      </c>
      <c r="AI92" s="37">
        <f t="shared" si="57"/>
        <v>90.037514912763257</v>
      </c>
      <c r="AJ92" s="37">
        <f t="shared" si="58"/>
        <v>103.05668462819108</v>
      </c>
      <c r="AK92" s="37">
        <f t="shared" si="59"/>
        <v>119.6354416875984</v>
      </c>
      <c r="AL92" s="2"/>
    </row>
    <row r="93" spans="2:38" x14ac:dyDescent="0.2">
      <c r="B93" s="51" t="s">
        <v>27</v>
      </c>
      <c r="C93" s="51" t="s">
        <v>83</v>
      </c>
      <c r="D93" s="51">
        <v>5</v>
      </c>
      <c r="E93" s="51" t="s">
        <v>75</v>
      </c>
      <c r="F93" s="37" t="str">
        <f t="shared" si="30"/>
        <v>6219K84</v>
      </c>
      <c r="G93" s="37" t="str">
        <f t="shared" si="31"/>
        <v>6219K84</v>
      </c>
      <c r="H93" s="37" t="str">
        <f t="shared" si="32"/>
        <v>6219K72</v>
      </c>
      <c r="I93" s="37" t="str">
        <f t="shared" si="33"/>
        <v>6219K72</v>
      </c>
      <c r="J93" s="56" t="str">
        <f t="shared" si="49"/>
        <v>Tan</v>
      </c>
      <c r="K93" s="56" t="str">
        <f t="shared" si="50"/>
        <v>Tan</v>
      </c>
      <c r="L93" s="56" t="str">
        <f t="shared" si="51"/>
        <v xml:space="preserve">Red </v>
      </c>
      <c r="M93" s="56" t="str">
        <f t="shared" si="52"/>
        <v xml:space="preserve">Red </v>
      </c>
      <c r="N93" s="56" t="str">
        <f t="shared" si="34"/>
        <v>42-081</v>
      </c>
      <c r="O93" s="56" t="str">
        <f t="shared" si="35"/>
        <v>42-081</v>
      </c>
      <c r="P93" s="56" t="str">
        <f t="shared" si="36"/>
        <v>42-082</v>
      </c>
      <c r="Q93" s="56" t="str">
        <f t="shared" si="37"/>
        <v>42-082</v>
      </c>
      <c r="R93" s="37">
        <v>91</v>
      </c>
      <c r="S93" s="37">
        <v>20.440000000000001</v>
      </c>
      <c r="T93" s="37">
        <v>9.68</v>
      </c>
      <c r="U93" s="37">
        <v>299.29000000000002</v>
      </c>
      <c r="V93" s="37">
        <v>17.03</v>
      </c>
      <c r="W93" s="37">
        <v>32.4</v>
      </c>
      <c r="X93" s="37">
        <f t="shared" si="27"/>
        <v>17.825075456711676</v>
      </c>
      <c r="Y93" s="37">
        <f t="shared" si="28"/>
        <v>27.102605754695226</v>
      </c>
      <c r="Z93" s="37">
        <v>33.18</v>
      </c>
      <c r="AA93" s="37">
        <v>47.5</v>
      </c>
      <c r="AB93" s="37">
        <f t="shared" si="38"/>
        <v>390.29</v>
      </c>
      <c r="AC93" s="37">
        <f t="shared" si="53"/>
        <v>0.46277650823653782</v>
      </c>
      <c r="AD93" s="37">
        <f t="shared" si="54"/>
        <v>0.53722349176346218</v>
      </c>
      <c r="AE93" s="37">
        <f t="shared" si="55"/>
        <v>0.42941882621694261</v>
      </c>
      <c r="AF93" s="37">
        <f t="shared" si="29"/>
        <v>0.57058117378305739</v>
      </c>
      <c r="AG93" s="37">
        <v>1</v>
      </c>
      <c r="AH93" s="37">
        <f t="shared" si="56"/>
        <v>77.560358771447284</v>
      </c>
      <c r="AI93" s="37">
        <f t="shared" si="57"/>
        <v>90.037514912763257</v>
      </c>
      <c r="AJ93" s="37">
        <f t="shared" si="58"/>
        <v>103.05668462819108</v>
      </c>
      <c r="AK93" s="37">
        <f t="shared" si="59"/>
        <v>119.6354416875984</v>
      </c>
      <c r="AL93" s="2"/>
    </row>
    <row r="94" spans="2:38" x14ac:dyDescent="0.2">
      <c r="B94" s="51" t="s">
        <v>27</v>
      </c>
      <c r="C94" s="51" t="s">
        <v>84</v>
      </c>
      <c r="D94" s="51">
        <v>5</v>
      </c>
      <c r="E94" s="51" t="s">
        <v>75</v>
      </c>
      <c r="F94" s="37" t="str">
        <f t="shared" si="30"/>
        <v>6219K84</v>
      </c>
      <c r="G94" s="37" t="str">
        <f t="shared" si="31"/>
        <v>6219K84</v>
      </c>
      <c r="H94" s="37" t="str">
        <f t="shared" si="32"/>
        <v>6219K84</v>
      </c>
      <c r="I94" s="37" t="str">
        <f t="shared" si="33"/>
        <v>6219K84</v>
      </c>
      <c r="J94" s="56" t="str">
        <f t="shared" si="49"/>
        <v>Tan</v>
      </c>
      <c r="K94" s="56" t="str">
        <f t="shared" si="50"/>
        <v>Tan</v>
      </c>
      <c r="L94" s="56" t="str">
        <f t="shared" si="51"/>
        <v>Tan</v>
      </c>
      <c r="M94" s="56" t="str">
        <f t="shared" si="52"/>
        <v>Tan</v>
      </c>
      <c r="N94" s="56" t="str">
        <f t="shared" si="34"/>
        <v>42-081</v>
      </c>
      <c r="O94" s="56" t="str">
        <f t="shared" si="35"/>
        <v>42-081</v>
      </c>
      <c r="P94" s="56" t="str">
        <f t="shared" si="36"/>
        <v>42-081</v>
      </c>
      <c r="Q94" s="56" t="str">
        <f t="shared" si="37"/>
        <v>42-081</v>
      </c>
      <c r="R94" s="37">
        <v>91</v>
      </c>
      <c r="S94" s="37">
        <v>20.440000000000001</v>
      </c>
      <c r="T94" s="37">
        <v>9.68</v>
      </c>
      <c r="U94" s="37">
        <v>278.39</v>
      </c>
      <c r="V94" s="37">
        <v>16.77</v>
      </c>
      <c r="W94" s="37">
        <v>28.74</v>
      </c>
      <c r="X94" s="37">
        <f t="shared" si="27"/>
        <v>17.674112184953572</v>
      </c>
      <c r="Y94" s="37">
        <f t="shared" si="28"/>
        <v>24.044529088497249</v>
      </c>
      <c r="Z94" s="37">
        <v>33.18</v>
      </c>
      <c r="AA94" s="37">
        <v>47.5</v>
      </c>
      <c r="AB94" s="37">
        <f t="shared" si="38"/>
        <v>369.39</v>
      </c>
      <c r="AC94" s="37">
        <f t="shared" si="53"/>
        <v>0.46732633559513048</v>
      </c>
      <c r="AD94" s="37">
        <f t="shared" si="54"/>
        <v>0.53267366440486952</v>
      </c>
      <c r="AE94" s="37">
        <f t="shared" si="55"/>
        <v>0.49379938761058417</v>
      </c>
      <c r="AF94" s="37">
        <f t="shared" si="29"/>
        <v>0.50620061238941583</v>
      </c>
      <c r="AG94" s="37">
        <v>1</v>
      </c>
      <c r="AH94" s="37">
        <f t="shared" si="56"/>
        <v>85.242452652952281</v>
      </c>
      <c r="AI94" s="37">
        <f t="shared" si="57"/>
        <v>97.162103136521409</v>
      </c>
      <c r="AJ94" s="37">
        <f t="shared" si="58"/>
        <v>87.383222452532962</v>
      </c>
      <c r="AK94" s="37">
        <f t="shared" si="59"/>
        <v>99.602221757993334</v>
      </c>
      <c r="AL94" s="2"/>
    </row>
    <row r="95" spans="2:38" x14ac:dyDescent="0.2">
      <c r="B95" s="51" t="s">
        <v>27</v>
      </c>
      <c r="C95" s="51" t="s">
        <v>74</v>
      </c>
      <c r="D95" s="51">
        <v>7.5</v>
      </c>
      <c r="E95" s="51" t="s">
        <v>75</v>
      </c>
      <c r="F95" s="37" t="str">
        <f t="shared" si="30"/>
        <v>6219K84</v>
      </c>
      <c r="G95" s="37" t="str">
        <f t="shared" si="31"/>
        <v>6219K72</v>
      </c>
      <c r="H95" s="37" t="str">
        <f t="shared" si="32"/>
        <v>6219K72</v>
      </c>
      <c r="I95" s="37" t="str">
        <f t="shared" si="33"/>
        <v>6219K72</v>
      </c>
      <c r="J95" s="56" t="str">
        <f t="shared" si="49"/>
        <v>Tan</v>
      </c>
      <c r="K95" s="56" t="str">
        <f t="shared" si="50"/>
        <v xml:space="preserve">Red </v>
      </c>
      <c r="L95" s="56" t="str">
        <f t="shared" si="51"/>
        <v xml:space="preserve">Red </v>
      </c>
      <c r="M95" s="56" t="str">
        <f t="shared" si="52"/>
        <v xml:space="preserve">Red </v>
      </c>
      <c r="N95" s="56" t="str">
        <f t="shared" si="34"/>
        <v>42-081</v>
      </c>
      <c r="O95" s="56" t="str">
        <f t="shared" si="35"/>
        <v>42-082</v>
      </c>
      <c r="P95" s="56" t="str">
        <f t="shared" si="36"/>
        <v>42-082</v>
      </c>
      <c r="Q95" s="56" t="str">
        <f t="shared" si="37"/>
        <v>42-082</v>
      </c>
      <c r="R95" s="37">
        <v>128</v>
      </c>
      <c r="S95" s="37">
        <v>20.440000000000001</v>
      </c>
      <c r="T95" s="37">
        <v>9.68</v>
      </c>
      <c r="U95" s="37">
        <v>299.29000000000002</v>
      </c>
      <c r="V95" s="37">
        <v>17.03</v>
      </c>
      <c r="W95" s="37">
        <v>32.4</v>
      </c>
      <c r="X95" s="37">
        <f t="shared" si="27"/>
        <v>18.051507641180464</v>
      </c>
      <c r="Y95" s="37">
        <f t="shared" si="28"/>
        <v>25.593943223571813</v>
      </c>
      <c r="Z95" s="37">
        <v>33.18</v>
      </c>
      <c r="AA95" s="37">
        <v>47.5</v>
      </c>
      <c r="AB95" s="37">
        <f t="shared" si="38"/>
        <v>427.29</v>
      </c>
      <c r="AC95" s="37">
        <f t="shared" si="53"/>
        <v>0.45595215065761108</v>
      </c>
      <c r="AD95" s="37">
        <f t="shared" si="54"/>
        <v>0.54404784934238892</v>
      </c>
      <c r="AE95" s="37">
        <f t="shared" si="55"/>
        <v>0.46118014266164609</v>
      </c>
      <c r="AF95" s="37">
        <f t="shared" si="29"/>
        <v>0.53881985733835391</v>
      </c>
      <c r="AG95" s="37">
        <v>1</v>
      </c>
      <c r="AH95" s="37">
        <f t="shared" si="56"/>
        <v>89.84886532040521</v>
      </c>
      <c r="AI95" s="37">
        <f t="shared" si="57"/>
        <v>107.20879783748956</v>
      </c>
      <c r="AJ95" s="37">
        <f t="shared" si="58"/>
        <v>104.97492913408543</v>
      </c>
      <c r="AK95" s="37">
        <f t="shared" si="59"/>
        <v>125.25740770801983</v>
      </c>
      <c r="AL95" s="2"/>
    </row>
    <row r="96" spans="2:38" x14ac:dyDescent="0.2">
      <c r="B96" s="51" t="s">
        <v>27</v>
      </c>
      <c r="C96" s="51" t="s">
        <v>83</v>
      </c>
      <c r="D96" s="51">
        <v>7.5</v>
      </c>
      <c r="E96" s="51" t="s">
        <v>75</v>
      </c>
      <c r="F96" s="37" t="str">
        <f t="shared" si="30"/>
        <v>6219K84</v>
      </c>
      <c r="G96" s="37" t="str">
        <f t="shared" si="31"/>
        <v>6219K72</v>
      </c>
      <c r="H96" s="37" t="str">
        <f t="shared" si="32"/>
        <v>6219K72</v>
      </c>
      <c r="I96" s="37" t="str">
        <f t="shared" si="33"/>
        <v>6219K72</v>
      </c>
      <c r="J96" s="56" t="str">
        <f t="shared" si="49"/>
        <v>Tan</v>
      </c>
      <c r="K96" s="56" t="str">
        <f t="shared" si="50"/>
        <v xml:space="preserve">Red </v>
      </c>
      <c r="L96" s="56" t="str">
        <f t="shared" si="51"/>
        <v xml:space="preserve">Red </v>
      </c>
      <c r="M96" s="56" t="str">
        <f t="shared" si="52"/>
        <v xml:space="preserve">Red </v>
      </c>
      <c r="N96" s="56" t="str">
        <f t="shared" si="34"/>
        <v>42-081</v>
      </c>
      <c r="O96" s="56" t="str">
        <f t="shared" si="35"/>
        <v>42-082</v>
      </c>
      <c r="P96" s="56" t="str">
        <f t="shared" si="36"/>
        <v>42-082</v>
      </c>
      <c r="Q96" s="56" t="str">
        <f t="shared" si="37"/>
        <v>42-082</v>
      </c>
      <c r="R96" s="37">
        <v>128</v>
      </c>
      <c r="S96" s="37">
        <v>20.440000000000001</v>
      </c>
      <c r="T96" s="37">
        <v>9.68</v>
      </c>
      <c r="U96" s="37">
        <v>299.29000000000002</v>
      </c>
      <c r="V96" s="37">
        <v>17.03</v>
      </c>
      <c r="W96" s="37">
        <v>32.4</v>
      </c>
      <c r="X96" s="37">
        <f t="shared" si="27"/>
        <v>18.051507641180464</v>
      </c>
      <c r="Y96" s="37">
        <f t="shared" si="28"/>
        <v>25.593943223571813</v>
      </c>
      <c r="Z96" s="37">
        <v>33.18</v>
      </c>
      <c r="AA96" s="37">
        <v>47.5</v>
      </c>
      <c r="AB96" s="37">
        <f t="shared" si="38"/>
        <v>427.29</v>
      </c>
      <c r="AC96" s="37">
        <f t="shared" si="53"/>
        <v>0.45595215065761108</v>
      </c>
      <c r="AD96" s="37">
        <f t="shared" si="54"/>
        <v>0.54404784934238892</v>
      </c>
      <c r="AE96" s="37">
        <f t="shared" si="55"/>
        <v>0.46118014266164609</v>
      </c>
      <c r="AF96" s="37">
        <f t="shared" si="29"/>
        <v>0.53881985733835391</v>
      </c>
      <c r="AG96" s="37">
        <v>1</v>
      </c>
      <c r="AH96" s="37">
        <f t="shared" si="56"/>
        <v>89.84886532040521</v>
      </c>
      <c r="AI96" s="37">
        <f t="shared" si="57"/>
        <v>107.20879783748956</v>
      </c>
      <c r="AJ96" s="37">
        <f t="shared" si="58"/>
        <v>104.97492913408543</v>
      </c>
      <c r="AK96" s="37">
        <f t="shared" si="59"/>
        <v>125.25740770801983</v>
      </c>
      <c r="AL96" s="2"/>
    </row>
    <row r="97" spans="2:38" x14ac:dyDescent="0.2">
      <c r="B97" s="51" t="s">
        <v>27</v>
      </c>
      <c r="C97" s="51" t="s">
        <v>84</v>
      </c>
      <c r="D97" s="51">
        <v>7.5</v>
      </c>
      <c r="E97" s="51" t="s">
        <v>75</v>
      </c>
      <c r="F97" s="37" t="str">
        <f t="shared" si="30"/>
        <v>6219K84</v>
      </c>
      <c r="G97" s="37" t="str">
        <f t="shared" si="31"/>
        <v>6219K72</v>
      </c>
      <c r="H97" s="37" t="str">
        <f t="shared" si="32"/>
        <v>6219K84</v>
      </c>
      <c r="I97" s="37" t="str">
        <f t="shared" si="33"/>
        <v>6219K72</v>
      </c>
      <c r="J97" s="56" t="str">
        <f t="shared" si="49"/>
        <v>Tan</v>
      </c>
      <c r="K97" s="56" t="str">
        <f t="shared" si="50"/>
        <v xml:space="preserve">Red </v>
      </c>
      <c r="L97" s="56" t="str">
        <f t="shared" si="51"/>
        <v>Tan</v>
      </c>
      <c r="M97" s="56" t="str">
        <f t="shared" si="52"/>
        <v xml:space="preserve">Red </v>
      </c>
      <c r="N97" s="56" t="str">
        <f t="shared" si="34"/>
        <v>42-081</v>
      </c>
      <c r="O97" s="56" t="str">
        <f t="shared" si="35"/>
        <v>42-082</v>
      </c>
      <c r="P97" s="56" t="str">
        <f t="shared" si="36"/>
        <v>42-081</v>
      </c>
      <c r="Q97" s="56" t="str">
        <f t="shared" si="37"/>
        <v>42-082</v>
      </c>
      <c r="R97" s="37">
        <v>128</v>
      </c>
      <c r="S97" s="37">
        <v>20.440000000000001</v>
      </c>
      <c r="T97" s="37">
        <v>9.68</v>
      </c>
      <c r="U97" s="37">
        <v>278.39</v>
      </c>
      <c r="V97" s="37">
        <v>16.77</v>
      </c>
      <c r="W97" s="37">
        <v>28.74</v>
      </c>
      <c r="X97" s="37">
        <f t="shared" si="27"/>
        <v>17.925933955067791</v>
      </c>
      <c r="Y97" s="37">
        <f t="shared" si="28"/>
        <v>22.736702674770541</v>
      </c>
      <c r="Z97" s="37">
        <v>33.18</v>
      </c>
      <c r="AA97" s="37">
        <v>47.5</v>
      </c>
      <c r="AB97" s="37">
        <f t="shared" si="38"/>
        <v>406.39</v>
      </c>
      <c r="AC97" s="37">
        <f t="shared" si="53"/>
        <v>0.4597367704922305</v>
      </c>
      <c r="AD97" s="37">
        <f t="shared" si="54"/>
        <v>0.5402632295077695</v>
      </c>
      <c r="AE97" s="37">
        <f t="shared" si="55"/>
        <v>0.5213325752679886</v>
      </c>
      <c r="AF97" s="37">
        <f t="shared" si="29"/>
        <v>0.4786674247320114</v>
      </c>
      <c r="AG97" s="37">
        <v>1</v>
      </c>
      <c r="AH97" s="37">
        <f t="shared" si="56"/>
        <v>97.401829873735096</v>
      </c>
      <c r="AI97" s="37">
        <f t="shared" si="57"/>
        <v>114.46251538942278</v>
      </c>
      <c r="AJ97" s="37">
        <f t="shared" si="58"/>
        <v>89.430596286602452</v>
      </c>
      <c r="AK97" s="37">
        <f t="shared" si="59"/>
        <v>105.09505845023966</v>
      </c>
      <c r="AL97" s="2"/>
    </row>
    <row r="98" spans="2:38" x14ac:dyDescent="0.2">
      <c r="B98" s="51" t="s">
        <v>28</v>
      </c>
      <c r="C98" s="51" t="s">
        <v>74</v>
      </c>
      <c r="D98" s="51">
        <v>5</v>
      </c>
      <c r="E98" s="51" t="s">
        <v>75</v>
      </c>
      <c r="F98" s="37" t="str">
        <f t="shared" si="30"/>
        <v>6219K84</v>
      </c>
      <c r="G98" s="37" t="str">
        <f t="shared" si="31"/>
        <v>6219K72</v>
      </c>
      <c r="H98" s="37" t="str">
        <f t="shared" si="32"/>
        <v>6219K72</v>
      </c>
      <c r="I98" s="37" t="str">
        <f t="shared" si="33"/>
        <v>6219K72</v>
      </c>
      <c r="J98" s="56" t="str">
        <f t="shared" si="49"/>
        <v>Tan</v>
      </c>
      <c r="K98" s="56" t="str">
        <f t="shared" si="50"/>
        <v xml:space="preserve">Red </v>
      </c>
      <c r="L98" s="56" t="str">
        <f t="shared" si="51"/>
        <v xml:space="preserve">Red </v>
      </c>
      <c r="M98" s="56" t="str">
        <f t="shared" si="52"/>
        <v xml:space="preserve">Red </v>
      </c>
      <c r="N98" s="56" t="str">
        <f t="shared" si="34"/>
        <v>42-081</v>
      </c>
      <c r="O98" s="56" t="str">
        <f t="shared" si="35"/>
        <v>42-082</v>
      </c>
      <c r="P98" s="56" t="str">
        <f t="shared" si="36"/>
        <v>42-082</v>
      </c>
      <c r="Q98" s="56" t="str">
        <f t="shared" si="37"/>
        <v>42-082</v>
      </c>
      <c r="R98" s="37">
        <v>91</v>
      </c>
      <c r="S98" s="37">
        <v>23.26</v>
      </c>
      <c r="T98" s="37">
        <v>9.75</v>
      </c>
      <c r="U98" s="37">
        <v>371.5</v>
      </c>
      <c r="V98" s="37">
        <v>18.41</v>
      </c>
      <c r="W98" s="37">
        <v>34.51</v>
      </c>
      <c r="X98" s="37">
        <f t="shared" si="27"/>
        <v>19.364270270270271</v>
      </c>
      <c r="Y98" s="37">
        <f t="shared" si="28"/>
        <v>29.638302702702703</v>
      </c>
      <c r="Z98" s="37">
        <v>35.979999999999997</v>
      </c>
      <c r="AA98" s="37">
        <v>51.84</v>
      </c>
      <c r="AB98" s="37">
        <f t="shared" si="38"/>
        <v>462.5</v>
      </c>
      <c r="AC98" s="37">
        <f t="shared" si="53"/>
        <v>0.46180460616258279</v>
      </c>
      <c r="AD98" s="37">
        <f t="shared" si="54"/>
        <v>0.53819539383741721</v>
      </c>
      <c r="AE98" s="37">
        <f t="shared" si="55"/>
        <v>0.42827348181514857</v>
      </c>
      <c r="AF98" s="37">
        <f t="shared" si="29"/>
        <v>0.57172651818485143</v>
      </c>
      <c r="AG98" s="37">
        <v>1</v>
      </c>
      <c r="AH98" s="37">
        <f t="shared" si="56"/>
        <v>91.472633302279277</v>
      </c>
      <c r="AI98" s="37">
        <f t="shared" si="57"/>
        <v>106.60385203722694</v>
      </c>
      <c r="AJ98" s="37">
        <f t="shared" si="58"/>
        <v>122.11199704791527</v>
      </c>
      <c r="AK98" s="37">
        <f t="shared" si="59"/>
        <v>142.31151761257851</v>
      </c>
      <c r="AL98" s="2"/>
    </row>
    <row r="99" spans="2:38" x14ac:dyDescent="0.2">
      <c r="B99" s="51" t="s">
        <v>28</v>
      </c>
      <c r="C99" s="51" t="s">
        <v>83</v>
      </c>
      <c r="D99" s="51">
        <v>5</v>
      </c>
      <c r="E99" s="51" t="s">
        <v>75</v>
      </c>
      <c r="F99" s="37" t="str">
        <f t="shared" si="30"/>
        <v>6219K84</v>
      </c>
      <c r="G99" s="37" t="str">
        <f t="shared" si="31"/>
        <v>6219K72</v>
      </c>
      <c r="H99" s="37" t="str">
        <f t="shared" si="32"/>
        <v>6219K72</v>
      </c>
      <c r="I99" s="37" t="str">
        <f t="shared" si="33"/>
        <v>6219K72</v>
      </c>
      <c r="J99" s="56" t="str">
        <f t="shared" si="49"/>
        <v>Tan</v>
      </c>
      <c r="K99" s="56" t="str">
        <f t="shared" si="50"/>
        <v xml:space="preserve">Red </v>
      </c>
      <c r="L99" s="56" t="str">
        <f t="shared" si="51"/>
        <v xml:space="preserve">Red </v>
      </c>
      <c r="M99" s="56" t="str">
        <f t="shared" si="52"/>
        <v xml:space="preserve">Red </v>
      </c>
      <c r="N99" s="56" t="str">
        <f t="shared" si="34"/>
        <v>42-081</v>
      </c>
      <c r="O99" s="56" t="str">
        <f t="shared" si="35"/>
        <v>42-082</v>
      </c>
      <c r="P99" s="56" t="str">
        <f t="shared" si="36"/>
        <v>42-082</v>
      </c>
      <c r="Q99" s="56" t="str">
        <f t="shared" si="37"/>
        <v>42-082</v>
      </c>
      <c r="R99" s="37">
        <v>91</v>
      </c>
      <c r="S99" s="37">
        <v>23.26</v>
      </c>
      <c r="T99" s="37">
        <v>9.75</v>
      </c>
      <c r="U99" s="37">
        <v>351.53</v>
      </c>
      <c r="V99" s="37">
        <v>18.54</v>
      </c>
      <c r="W99" s="37">
        <v>34.31</v>
      </c>
      <c r="X99" s="37">
        <f t="shared" si="27"/>
        <v>19.510600863218315</v>
      </c>
      <c r="Y99" s="37">
        <f t="shared" si="28"/>
        <v>29.259585338847085</v>
      </c>
      <c r="Z99" s="37">
        <v>35.979999999999997</v>
      </c>
      <c r="AA99" s="37">
        <v>51.84</v>
      </c>
      <c r="AB99" s="37">
        <f t="shared" si="38"/>
        <v>442.53</v>
      </c>
      <c r="AC99" s="37">
        <f t="shared" si="53"/>
        <v>0.45773760802617247</v>
      </c>
      <c r="AD99" s="37">
        <f t="shared" si="54"/>
        <v>0.54226239197382753</v>
      </c>
      <c r="AE99" s="37">
        <f t="shared" si="55"/>
        <v>0.4355789865191535</v>
      </c>
      <c r="AF99" s="37">
        <f t="shared" si="29"/>
        <v>0.5644210134808465</v>
      </c>
      <c r="AG99" s="37">
        <v>1</v>
      </c>
      <c r="AH99" s="37">
        <f t="shared" si="56"/>
        <v>88.232022329117584</v>
      </c>
      <c r="AI99" s="37">
        <f t="shared" si="57"/>
        <v>104.52474657520339</v>
      </c>
      <c r="AJ99" s="37">
        <f t="shared" si="58"/>
        <v>114.3306013507045</v>
      </c>
      <c r="AK99" s="37">
        <f t="shared" si="59"/>
        <v>135.44262974497448</v>
      </c>
      <c r="AL99" s="2"/>
    </row>
    <row r="100" spans="2:38" x14ac:dyDescent="0.2">
      <c r="B100" s="51" t="s">
        <v>28</v>
      </c>
      <c r="C100" s="51" t="s">
        <v>84</v>
      </c>
      <c r="D100" s="51">
        <v>5</v>
      </c>
      <c r="E100" s="51" t="s">
        <v>75</v>
      </c>
      <c r="F100" s="37" t="str">
        <f t="shared" si="30"/>
        <v>6219K84</v>
      </c>
      <c r="G100" s="37" t="str">
        <f t="shared" si="31"/>
        <v>6219K72</v>
      </c>
      <c r="H100" s="37" t="str">
        <f t="shared" si="32"/>
        <v>6219K72</v>
      </c>
      <c r="I100" s="37" t="str">
        <f t="shared" si="33"/>
        <v>6219K72</v>
      </c>
      <c r="J100" s="56" t="str">
        <f t="shared" si="49"/>
        <v>Tan</v>
      </c>
      <c r="K100" s="56" t="str">
        <f t="shared" si="50"/>
        <v xml:space="preserve">Red </v>
      </c>
      <c r="L100" s="56" t="str">
        <f t="shared" si="51"/>
        <v xml:space="preserve">Red </v>
      </c>
      <c r="M100" s="56" t="str">
        <f t="shared" si="52"/>
        <v xml:space="preserve">Red </v>
      </c>
      <c r="N100" s="56" t="str">
        <f t="shared" si="34"/>
        <v>42-081</v>
      </c>
      <c r="O100" s="56" t="str">
        <f t="shared" si="35"/>
        <v>42-082</v>
      </c>
      <c r="P100" s="56" t="str">
        <f t="shared" si="36"/>
        <v>42-082</v>
      </c>
      <c r="Q100" s="56" t="str">
        <f t="shared" si="37"/>
        <v>42-082</v>
      </c>
      <c r="R100" s="37">
        <v>91</v>
      </c>
      <c r="S100" s="37">
        <v>23.26</v>
      </c>
      <c r="T100" s="37">
        <v>9.75</v>
      </c>
      <c r="U100" s="37">
        <v>361.45</v>
      </c>
      <c r="V100" s="37">
        <v>18.46</v>
      </c>
      <c r="W100" s="37">
        <v>31.79</v>
      </c>
      <c r="X100" s="37">
        <f t="shared" si="27"/>
        <v>19.425410542601394</v>
      </c>
      <c r="Y100" s="37">
        <f t="shared" si="28"/>
        <v>27.357156591888604</v>
      </c>
      <c r="Z100" s="37">
        <v>35.979999999999997</v>
      </c>
      <c r="AA100" s="37">
        <v>51.84</v>
      </c>
      <c r="AB100" s="37">
        <f t="shared" si="38"/>
        <v>452.45</v>
      </c>
      <c r="AC100" s="37">
        <f t="shared" si="53"/>
        <v>0.46010532121730419</v>
      </c>
      <c r="AD100" s="37">
        <f t="shared" si="54"/>
        <v>0.53989467878269581</v>
      </c>
      <c r="AE100" s="37">
        <f t="shared" si="55"/>
        <v>0.4722770719157291</v>
      </c>
      <c r="AF100" s="37">
        <f t="shared" si="29"/>
        <v>0.5277229280842709</v>
      </c>
      <c r="AG100" s="37">
        <v>1</v>
      </c>
      <c r="AH100" s="37">
        <f t="shared" si="56"/>
        <v>98.316115369808998</v>
      </c>
      <c r="AI100" s="37">
        <f t="shared" si="57"/>
        <v>115.36564581846262</v>
      </c>
      <c r="AJ100" s="37">
        <f t="shared" si="58"/>
        <v>109.85853721496026</v>
      </c>
      <c r="AK100" s="37">
        <f t="shared" si="59"/>
        <v>128.90970159676809</v>
      </c>
      <c r="AL100" s="2"/>
    </row>
    <row r="101" spans="2:38" x14ac:dyDescent="0.2">
      <c r="B101" s="51" t="s">
        <v>28</v>
      </c>
      <c r="C101" s="51" t="s">
        <v>74</v>
      </c>
      <c r="D101" s="51">
        <v>7.5</v>
      </c>
      <c r="E101" s="51" t="s">
        <v>75</v>
      </c>
      <c r="F101" s="37" t="str">
        <f t="shared" si="30"/>
        <v>6219K72</v>
      </c>
      <c r="G101" s="37" t="str">
        <f t="shared" si="31"/>
        <v>6219K72</v>
      </c>
      <c r="H101" s="37" t="str">
        <f t="shared" si="32"/>
        <v>6219K72</v>
      </c>
      <c r="I101" s="37" t="str">
        <f t="shared" si="33"/>
        <v>6219K72</v>
      </c>
      <c r="J101" s="56" t="str">
        <f t="shared" si="49"/>
        <v xml:space="preserve">Red </v>
      </c>
      <c r="K101" s="56" t="str">
        <f t="shared" si="50"/>
        <v xml:space="preserve">Red </v>
      </c>
      <c r="L101" s="56" t="str">
        <f t="shared" si="51"/>
        <v xml:space="preserve">Red </v>
      </c>
      <c r="M101" s="56" t="str">
        <f t="shared" si="52"/>
        <v xml:space="preserve">Red </v>
      </c>
      <c r="N101" s="56" t="str">
        <f t="shared" si="34"/>
        <v>42-082</v>
      </c>
      <c r="O101" s="56" t="str">
        <f t="shared" si="35"/>
        <v>42-082</v>
      </c>
      <c r="P101" s="56" t="str">
        <f t="shared" si="36"/>
        <v>42-082</v>
      </c>
      <c r="Q101" s="56" t="str">
        <f t="shared" si="37"/>
        <v>42-082</v>
      </c>
      <c r="R101" s="37">
        <v>128</v>
      </c>
      <c r="S101" s="37">
        <v>23.26</v>
      </c>
      <c r="T101" s="37">
        <v>9.75</v>
      </c>
      <c r="U101" s="37">
        <v>371.5</v>
      </c>
      <c r="V101" s="37">
        <v>18.41</v>
      </c>
      <c r="W101" s="37">
        <v>34.51</v>
      </c>
      <c r="X101" s="37">
        <f t="shared" si="27"/>
        <v>19.652842842842841</v>
      </c>
      <c r="Y101" s="37">
        <f t="shared" si="28"/>
        <v>28.165095095095097</v>
      </c>
      <c r="Z101" s="37">
        <v>35.979999999999997</v>
      </c>
      <c r="AA101" s="37">
        <v>51.84</v>
      </c>
      <c r="AB101" s="37">
        <f t="shared" si="38"/>
        <v>499.5</v>
      </c>
      <c r="AC101" s="37">
        <f t="shared" si="53"/>
        <v>0.45378424561303943</v>
      </c>
      <c r="AD101" s="37">
        <f t="shared" si="54"/>
        <v>0.54621575438696057</v>
      </c>
      <c r="AE101" s="37">
        <f t="shared" si="55"/>
        <v>0.45669183844338168</v>
      </c>
      <c r="AF101" s="37">
        <f t="shared" si="29"/>
        <v>0.54330816155661832</v>
      </c>
      <c r="AG101" s="37">
        <v>1</v>
      </c>
      <c r="AH101" s="37">
        <f t="shared" si="56"/>
        <v>103.51616091213819</v>
      </c>
      <c r="AI101" s="37">
        <f t="shared" si="57"/>
        <v>124.60141239033095</v>
      </c>
      <c r="AJ101" s="37">
        <f t="shared" si="58"/>
        <v>123.149069771575</v>
      </c>
      <c r="AK101" s="37">
        <f t="shared" si="59"/>
        <v>148.23335692595583</v>
      </c>
      <c r="AL101" s="2"/>
    </row>
    <row r="102" spans="2:38" x14ac:dyDescent="0.2">
      <c r="B102" s="51" t="s">
        <v>28</v>
      </c>
      <c r="C102" s="51" t="s">
        <v>83</v>
      </c>
      <c r="D102" s="51">
        <v>7.5</v>
      </c>
      <c r="E102" s="51" t="s">
        <v>75</v>
      </c>
      <c r="F102" s="37" t="str">
        <f t="shared" si="30"/>
        <v>6219K72</v>
      </c>
      <c r="G102" s="37" t="str">
        <f t="shared" si="31"/>
        <v>6219K72</v>
      </c>
      <c r="H102" s="37" t="str">
        <f t="shared" si="32"/>
        <v>6219K72</v>
      </c>
      <c r="I102" s="37" t="str">
        <f t="shared" si="33"/>
        <v>6219K72</v>
      </c>
      <c r="J102" s="56" t="str">
        <f t="shared" si="49"/>
        <v xml:space="preserve">Red </v>
      </c>
      <c r="K102" s="56" t="str">
        <f t="shared" si="50"/>
        <v xml:space="preserve">Red </v>
      </c>
      <c r="L102" s="56" t="str">
        <f t="shared" si="51"/>
        <v xml:space="preserve">Red </v>
      </c>
      <c r="M102" s="56" t="str">
        <f t="shared" si="52"/>
        <v xml:space="preserve">Red </v>
      </c>
      <c r="N102" s="56" t="str">
        <f t="shared" si="34"/>
        <v>42-082</v>
      </c>
      <c r="O102" s="56" t="str">
        <f t="shared" si="35"/>
        <v>42-082</v>
      </c>
      <c r="P102" s="56" t="str">
        <f t="shared" si="36"/>
        <v>42-082</v>
      </c>
      <c r="Q102" s="56" t="str">
        <f t="shared" si="37"/>
        <v>42-082</v>
      </c>
      <c r="R102" s="37">
        <v>128</v>
      </c>
      <c r="S102" s="37">
        <v>23.26</v>
      </c>
      <c r="T102" s="37">
        <v>9.75</v>
      </c>
      <c r="U102" s="37">
        <v>351.53</v>
      </c>
      <c r="V102" s="37">
        <v>18.54</v>
      </c>
      <c r="W102" s="37">
        <v>34.31</v>
      </c>
      <c r="X102" s="37">
        <f t="shared" si="27"/>
        <v>19.799900319062417</v>
      </c>
      <c r="Y102" s="37">
        <f t="shared" si="28"/>
        <v>27.754247492336248</v>
      </c>
      <c r="Z102" s="37">
        <v>35.979999999999997</v>
      </c>
      <c r="AA102" s="37">
        <v>51.84</v>
      </c>
      <c r="AB102" s="37">
        <f t="shared" si="38"/>
        <v>479.53</v>
      </c>
      <c r="AC102" s="37">
        <f t="shared" si="53"/>
        <v>0.44969704505107233</v>
      </c>
      <c r="AD102" s="37">
        <f t="shared" si="54"/>
        <v>0.55030295494892767</v>
      </c>
      <c r="AE102" s="37">
        <f t="shared" si="55"/>
        <v>0.46461713942252614</v>
      </c>
      <c r="AF102" s="37">
        <f t="shared" si="29"/>
        <v>0.53538286057747386</v>
      </c>
      <c r="AG102" s="37">
        <v>1</v>
      </c>
      <c r="AH102" s="37">
        <f t="shared" si="56"/>
        <v>100.19153787692935</v>
      </c>
      <c r="AI102" s="37">
        <f t="shared" si="57"/>
        <v>122.60631899035458</v>
      </c>
      <c r="AJ102" s="37">
        <f t="shared" si="58"/>
        <v>115.45168613641135</v>
      </c>
      <c r="AK102" s="37">
        <f t="shared" si="59"/>
        <v>141.28045699630465</v>
      </c>
      <c r="AL102" s="2"/>
    </row>
    <row r="103" spans="2:38" x14ac:dyDescent="0.2">
      <c r="B103" s="51" t="s">
        <v>28</v>
      </c>
      <c r="C103" s="51" t="s">
        <v>84</v>
      </c>
      <c r="D103" s="51">
        <v>7.5</v>
      </c>
      <c r="E103" s="51" t="s">
        <v>75</v>
      </c>
      <c r="F103" s="37" t="str">
        <f t="shared" si="30"/>
        <v>6219K72</v>
      </c>
      <c r="G103" s="37" t="str">
        <f t="shared" si="31"/>
        <v>6219K72</v>
      </c>
      <c r="H103" s="37" t="str">
        <f t="shared" si="32"/>
        <v>6219K72</v>
      </c>
      <c r="I103" s="37" t="str">
        <f t="shared" si="33"/>
        <v>6219K72</v>
      </c>
      <c r="J103" s="56" t="str">
        <f t="shared" si="49"/>
        <v xml:space="preserve">Red </v>
      </c>
      <c r="K103" s="56" t="str">
        <f t="shared" si="50"/>
        <v xml:space="preserve">Red </v>
      </c>
      <c r="L103" s="56" t="str">
        <f t="shared" si="51"/>
        <v xml:space="preserve">Red </v>
      </c>
      <c r="M103" s="56" t="str">
        <f t="shared" si="52"/>
        <v xml:space="preserve">Red </v>
      </c>
      <c r="N103" s="56" t="str">
        <f t="shared" si="34"/>
        <v>42-082</v>
      </c>
      <c r="O103" s="56" t="str">
        <f t="shared" si="35"/>
        <v>42-082</v>
      </c>
      <c r="P103" s="56" t="str">
        <f t="shared" si="36"/>
        <v>42-082</v>
      </c>
      <c r="Q103" s="56" t="str">
        <f t="shared" si="37"/>
        <v>42-082</v>
      </c>
      <c r="R103" s="37">
        <v>128</v>
      </c>
      <c r="S103" s="37">
        <v>23.26</v>
      </c>
      <c r="T103" s="37">
        <v>9.75</v>
      </c>
      <c r="U103" s="37">
        <v>361.45</v>
      </c>
      <c r="V103" s="37">
        <v>18.46</v>
      </c>
      <c r="W103" s="37">
        <v>31.79</v>
      </c>
      <c r="X103" s="37">
        <f t="shared" si="27"/>
        <v>19.715286546123203</v>
      </c>
      <c r="Y103" s="37">
        <f t="shared" si="28"/>
        <v>26.026142609050975</v>
      </c>
      <c r="Z103" s="37">
        <v>35.979999999999997</v>
      </c>
      <c r="AA103" s="37">
        <v>51.84</v>
      </c>
      <c r="AB103" s="37">
        <f t="shared" si="38"/>
        <v>489.45</v>
      </c>
      <c r="AC103" s="37">
        <f t="shared" si="53"/>
        <v>0.45204873412664803</v>
      </c>
      <c r="AD103" s="37">
        <f t="shared" si="54"/>
        <v>0.54795126587335197</v>
      </c>
      <c r="AE103" s="37">
        <f t="shared" si="55"/>
        <v>0.49795249596738089</v>
      </c>
      <c r="AF103" s="37">
        <f t="shared" si="29"/>
        <v>0.50204750403261911</v>
      </c>
      <c r="AG103" s="37">
        <v>1</v>
      </c>
      <c r="AH103" s="37">
        <f t="shared" si="56"/>
        <v>110.17460543655558</v>
      </c>
      <c r="AI103" s="37">
        <f t="shared" si="57"/>
        <v>133.54824371467899</v>
      </c>
      <c r="AJ103" s="37">
        <f t="shared" si="58"/>
        <v>111.0806474817323</v>
      </c>
      <c r="AK103" s="37">
        <f t="shared" si="59"/>
        <v>134.64650336703315</v>
      </c>
      <c r="AL103" s="2"/>
    </row>
    <row r="104" spans="2:38" x14ac:dyDescent="0.2">
      <c r="B104" s="51" t="s">
        <v>28</v>
      </c>
      <c r="C104" s="51" t="s">
        <v>74</v>
      </c>
      <c r="D104" s="51">
        <v>10</v>
      </c>
      <c r="E104" s="51" t="s">
        <v>75</v>
      </c>
      <c r="F104" s="37" t="str">
        <f t="shared" si="30"/>
        <v>6219K72</v>
      </c>
      <c r="G104" s="37" t="str">
        <f t="shared" si="31"/>
        <v>6219K72</v>
      </c>
      <c r="H104" s="37" t="str">
        <f t="shared" si="32"/>
        <v>6219K72</v>
      </c>
      <c r="I104" s="37" t="str">
        <f t="shared" si="33"/>
        <v>6219K73</v>
      </c>
      <c r="J104" s="56" t="str">
        <f t="shared" si="49"/>
        <v xml:space="preserve">Red </v>
      </c>
      <c r="K104" s="56" t="str">
        <f t="shared" si="50"/>
        <v xml:space="preserve">Red </v>
      </c>
      <c r="L104" s="56" t="str">
        <f t="shared" si="51"/>
        <v xml:space="preserve">Red </v>
      </c>
      <c r="M104" s="56" t="str">
        <f t="shared" si="52"/>
        <v>Black</v>
      </c>
      <c r="N104" s="56" t="str">
        <f t="shared" si="34"/>
        <v>42-082</v>
      </c>
      <c r="O104" s="56" t="str">
        <f t="shared" si="35"/>
        <v>42-082</v>
      </c>
      <c r="P104" s="56" t="str">
        <f t="shared" si="36"/>
        <v>42-082</v>
      </c>
      <c r="Q104" s="56" t="str">
        <f t="shared" si="37"/>
        <v>42-083</v>
      </c>
      <c r="R104" s="37">
        <v>165</v>
      </c>
      <c r="S104" s="37">
        <v>23.26</v>
      </c>
      <c r="T104" s="37">
        <v>9.75</v>
      </c>
      <c r="U104" s="37">
        <v>371.5</v>
      </c>
      <c r="V104" s="37">
        <v>18.41</v>
      </c>
      <c r="W104" s="37">
        <v>34.51</v>
      </c>
      <c r="X104" s="37">
        <f t="shared" si="27"/>
        <v>19.90161230195713</v>
      </c>
      <c r="Y104" s="37">
        <f t="shared" si="28"/>
        <v>26.895088536812676</v>
      </c>
      <c r="Z104" s="37">
        <v>35.979999999999997</v>
      </c>
      <c r="AA104" s="37">
        <v>51.84</v>
      </c>
      <c r="AB104" s="37">
        <f t="shared" si="38"/>
        <v>536.5</v>
      </c>
      <c r="AC104" s="37">
        <f t="shared" si="53"/>
        <v>0.44687014169101913</v>
      </c>
      <c r="AD104" s="37">
        <f t="shared" si="54"/>
        <v>0.55312985830898087</v>
      </c>
      <c r="AE104" s="37">
        <f t="shared" si="55"/>
        <v>0.48119042174358273</v>
      </c>
      <c r="AF104" s="37">
        <f t="shared" si="29"/>
        <v>0.51880957825641727</v>
      </c>
      <c r="AG104" s="37">
        <v>1</v>
      </c>
      <c r="AH104" s="37">
        <f t="shared" si="56"/>
        <v>115.36339753844746</v>
      </c>
      <c r="AI104" s="37">
        <f t="shared" si="57"/>
        <v>142.79526372698467</v>
      </c>
      <c r="AJ104" s="37">
        <f t="shared" si="58"/>
        <v>124.38243347878429</v>
      </c>
      <c r="AK104" s="37">
        <f t="shared" si="59"/>
        <v>153.95890525578358</v>
      </c>
      <c r="AL104" s="2"/>
    </row>
    <row r="105" spans="2:38" x14ac:dyDescent="0.2">
      <c r="B105" s="51" t="s">
        <v>28</v>
      </c>
      <c r="C105" s="51" t="s">
        <v>83</v>
      </c>
      <c r="D105" s="51">
        <v>10</v>
      </c>
      <c r="E105" s="51" t="s">
        <v>75</v>
      </c>
      <c r="F105" s="37" t="str">
        <f t="shared" si="30"/>
        <v>6219K72</v>
      </c>
      <c r="G105" s="37" t="str">
        <f t="shared" si="31"/>
        <v>6219K72</v>
      </c>
      <c r="H105" s="37" t="str">
        <f t="shared" si="32"/>
        <v>6219K72</v>
      </c>
      <c r="I105" s="37" t="str">
        <f t="shared" si="33"/>
        <v>6219K72</v>
      </c>
      <c r="J105" s="56" t="str">
        <f t="shared" si="49"/>
        <v xml:space="preserve">Red </v>
      </c>
      <c r="K105" s="56" t="str">
        <f t="shared" si="50"/>
        <v xml:space="preserve">Red </v>
      </c>
      <c r="L105" s="56" t="str">
        <f t="shared" si="51"/>
        <v xml:space="preserve">Red </v>
      </c>
      <c r="M105" s="56" t="str">
        <f t="shared" si="52"/>
        <v xml:space="preserve">Red </v>
      </c>
      <c r="N105" s="56" t="str">
        <f t="shared" si="34"/>
        <v>42-082</v>
      </c>
      <c r="O105" s="56" t="str">
        <f t="shared" si="35"/>
        <v>42-082</v>
      </c>
      <c r="P105" s="56" t="str">
        <f t="shared" si="36"/>
        <v>42-082</v>
      </c>
      <c r="Q105" s="56" t="str">
        <f t="shared" si="37"/>
        <v>42-082</v>
      </c>
      <c r="R105" s="37">
        <v>165</v>
      </c>
      <c r="S105" s="37">
        <v>23.26</v>
      </c>
      <c r="T105" s="37">
        <v>9.75</v>
      </c>
      <c r="U105" s="37">
        <v>351.53</v>
      </c>
      <c r="V105" s="37">
        <v>18.54</v>
      </c>
      <c r="W105" s="37">
        <v>34.31</v>
      </c>
      <c r="X105" s="37">
        <f t="shared" si="27"/>
        <v>20.047753663872381</v>
      </c>
      <c r="Y105" s="37">
        <f t="shared" si="28"/>
        <v>26.464569918494572</v>
      </c>
      <c r="Z105" s="37">
        <v>35.979999999999997</v>
      </c>
      <c r="AA105" s="37">
        <v>51.84</v>
      </c>
      <c r="AB105" s="37">
        <f t="shared" si="38"/>
        <v>516.53</v>
      </c>
      <c r="AC105" s="37">
        <f t="shared" si="53"/>
        <v>0.44280840289404155</v>
      </c>
      <c r="AD105" s="37">
        <f>(X105/Z105)</f>
        <v>0.55719159710595845</v>
      </c>
      <c r="AE105" s="37">
        <f t="shared" si="55"/>
        <v>0.48949517904138562</v>
      </c>
      <c r="AF105" s="37">
        <f t="shared" si="29"/>
        <v>0.51050482095861438</v>
      </c>
      <c r="AG105" s="37">
        <v>1</v>
      </c>
      <c r="AH105" s="37">
        <f t="shared" si="56"/>
        <v>111.95920934969631</v>
      </c>
      <c r="AI105" s="37">
        <f t="shared" si="57"/>
        <v>140.87973548055058</v>
      </c>
      <c r="AJ105" s="37">
        <f t="shared" si="58"/>
        <v>116.76461499716295</v>
      </c>
      <c r="AK105" s="37">
        <f t="shared" si="59"/>
        <v>146.92644017259013</v>
      </c>
      <c r="AL105" s="2"/>
    </row>
    <row r="106" spans="2:38" x14ac:dyDescent="0.2">
      <c r="B106" s="51" t="s">
        <v>28</v>
      </c>
      <c r="C106" s="51" t="s">
        <v>84</v>
      </c>
      <c r="D106" s="51">
        <v>10</v>
      </c>
      <c r="E106" s="51" t="s">
        <v>75</v>
      </c>
      <c r="F106" s="37" t="str">
        <f t="shared" si="30"/>
        <v>6219K72</v>
      </c>
      <c r="G106" s="37" t="str">
        <f t="shared" si="31"/>
        <v>6219K73</v>
      </c>
      <c r="H106" s="37" t="str">
        <f t="shared" si="32"/>
        <v>6219K72</v>
      </c>
      <c r="I106" s="37" t="str">
        <f t="shared" si="33"/>
        <v>6219K72</v>
      </c>
      <c r="J106" s="56" t="str">
        <f t="shared" si="49"/>
        <v xml:space="preserve">Red </v>
      </c>
      <c r="K106" s="56" t="str">
        <f t="shared" si="50"/>
        <v>Black</v>
      </c>
      <c r="L106" s="56" t="str">
        <f t="shared" si="51"/>
        <v xml:space="preserve">Red </v>
      </c>
      <c r="M106" s="56" t="str">
        <f t="shared" si="52"/>
        <v xml:space="preserve">Red </v>
      </c>
      <c r="N106" s="56" t="str">
        <f t="shared" si="34"/>
        <v>42-082</v>
      </c>
      <c r="O106" s="56" t="str">
        <f t="shared" si="35"/>
        <v>42-083</v>
      </c>
      <c r="P106" s="56" t="str">
        <f t="shared" si="36"/>
        <v>42-082</v>
      </c>
      <c r="Q106" s="56" t="str">
        <f t="shared" si="37"/>
        <v>42-082</v>
      </c>
      <c r="R106" s="37">
        <v>165</v>
      </c>
      <c r="S106" s="37">
        <v>23.26</v>
      </c>
      <c r="T106" s="37">
        <v>9.75</v>
      </c>
      <c r="U106" s="37">
        <v>361.45</v>
      </c>
      <c r="V106" s="37">
        <v>18.46</v>
      </c>
      <c r="W106" s="37">
        <v>31.79</v>
      </c>
      <c r="X106" s="37">
        <f t="shared" si="27"/>
        <v>19.964416373824672</v>
      </c>
      <c r="Y106" s="37">
        <f t="shared" si="28"/>
        <v>24.882221483521697</v>
      </c>
      <c r="Z106" s="37">
        <v>35.979999999999997</v>
      </c>
      <c r="AA106" s="37">
        <v>51.84</v>
      </c>
      <c r="AB106" s="37">
        <f t="shared" si="38"/>
        <v>526.45000000000005</v>
      </c>
      <c r="AC106" s="37">
        <f t="shared" si="53"/>
        <v>0.44512461440175999</v>
      </c>
      <c r="AD106" s="37">
        <f t="shared" si="54"/>
        <v>0.55487538559824001</v>
      </c>
      <c r="AE106" s="37">
        <f t="shared" si="55"/>
        <v>0.520018875703671</v>
      </c>
      <c r="AF106" s="37">
        <f t="shared" si="29"/>
        <v>0.479981124296329</v>
      </c>
      <c r="AG106" s="37">
        <v>1</v>
      </c>
      <c r="AH106" s="37">
        <f t="shared" si="56"/>
        <v>121.85906694506488</v>
      </c>
      <c r="AI106" s="37">
        <f t="shared" si="57"/>
        <v>151.90487016913275</v>
      </c>
      <c r="AJ106" s="37">
        <f t="shared" si="58"/>
        <v>112.47678630674167</v>
      </c>
      <c r="AK106" s="37">
        <f t="shared" si="59"/>
        <v>140.20927657906074</v>
      </c>
      <c r="AL106" s="2"/>
    </row>
    <row r="107" spans="2:38" x14ac:dyDescent="0.2">
      <c r="B107" s="51" t="s">
        <v>28</v>
      </c>
      <c r="C107" s="51" t="s">
        <v>74</v>
      </c>
      <c r="D107" s="51">
        <v>15</v>
      </c>
      <c r="E107" s="51" t="s">
        <v>75</v>
      </c>
      <c r="F107" s="37" t="str">
        <f t="shared" si="30"/>
        <v>6219K72</v>
      </c>
      <c r="G107" s="37" t="str">
        <f t="shared" si="31"/>
        <v>6219K73</v>
      </c>
      <c r="H107" s="37" t="str">
        <f t="shared" si="32"/>
        <v>6219K72</v>
      </c>
      <c r="I107" s="37" t="str">
        <f t="shared" si="33"/>
        <v>6219K73</v>
      </c>
      <c r="J107" s="56" t="str">
        <f t="shared" si="49"/>
        <v xml:space="preserve">Red </v>
      </c>
      <c r="K107" s="56" t="str">
        <f t="shared" si="50"/>
        <v>Black</v>
      </c>
      <c r="L107" s="56" t="str">
        <f t="shared" si="51"/>
        <v xml:space="preserve">Red </v>
      </c>
      <c r="M107" s="56" t="str">
        <f t="shared" si="52"/>
        <v>Black</v>
      </c>
      <c r="N107" s="56" t="str">
        <f t="shared" si="34"/>
        <v>42-082</v>
      </c>
      <c r="O107" s="56" t="str">
        <f t="shared" si="35"/>
        <v>42-083</v>
      </c>
      <c r="P107" s="56" t="str">
        <f t="shared" si="36"/>
        <v>42-082</v>
      </c>
      <c r="Q107" s="56" t="str">
        <f t="shared" si="37"/>
        <v>42-083</v>
      </c>
      <c r="R107" s="37">
        <v>270</v>
      </c>
      <c r="S107" s="37">
        <v>23.26</v>
      </c>
      <c r="T107" s="37">
        <v>9.75</v>
      </c>
      <c r="U107" s="37">
        <v>371.5</v>
      </c>
      <c r="V107" s="37">
        <v>18.41</v>
      </c>
      <c r="W107" s="37">
        <v>34.51</v>
      </c>
      <c r="X107" s="37">
        <f t="shared" si="27"/>
        <v>20.451309431021045</v>
      </c>
      <c r="Y107" s="37">
        <f t="shared" si="28"/>
        <v>24.088799688230708</v>
      </c>
      <c r="Z107" s="37">
        <v>35.979999999999997</v>
      </c>
      <c r="AA107" s="37">
        <v>51.84</v>
      </c>
      <c r="AB107" s="37">
        <f t="shared" si="38"/>
        <v>641.5</v>
      </c>
      <c r="AC107" s="37">
        <f t="shared" si="53"/>
        <v>0.43159228929902593</v>
      </c>
      <c r="AD107" s="37">
        <f t="shared" si="54"/>
        <v>0.56840771070097407</v>
      </c>
      <c r="AE107" s="37">
        <f t="shared" si="55"/>
        <v>0.53532408008814225</v>
      </c>
      <c r="AF107" s="37">
        <f t="shared" si="29"/>
        <v>0.46467591991185775</v>
      </c>
      <c r="AG107" s="37">
        <v>1</v>
      </c>
      <c r="AH107" s="37">
        <f t="shared" si="56"/>
        <v>148.21327957283052</v>
      </c>
      <c r="AI107" s="37">
        <f t="shared" si="57"/>
        <v>195.19711780371276</v>
      </c>
      <c r="AJ107" s="37">
        <f t="shared" si="58"/>
        <v>128.65317401249462</v>
      </c>
      <c r="AK107" s="37">
        <f t="shared" si="59"/>
        <v>169.43642861096211</v>
      </c>
      <c r="AL107" s="2"/>
    </row>
    <row r="108" spans="2:38" x14ac:dyDescent="0.2">
      <c r="B108" s="51" t="s">
        <v>28</v>
      </c>
      <c r="C108" s="51" t="s">
        <v>83</v>
      </c>
      <c r="D108" s="51">
        <v>15</v>
      </c>
      <c r="E108" s="51" t="s">
        <v>75</v>
      </c>
      <c r="F108" s="37" t="str">
        <f t="shared" si="30"/>
        <v>6219K72</v>
      </c>
      <c r="G108" s="37" t="str">
        <f t="shared" si="31"/>
        <v>6219K73</v>
      </c>
      <c r="H108" s="37" t="str">
        <f t="shared" si="32"/>
        <v>6219K72</v>
      </c>
      <c r="I108" s="37" t="str">
        <f t="shared" si="33"/>
        <v>6219K73</v>
      </c>
      <c r="J108" s="56" t="str">
        <f t="shared" si="49"/>
        <v xml:space="preserve">Red </v>
      </c>
      <c r="K108" s="56" t="str">
        <f t="shared" si="50"/>
        <v>Black</v>
      </c>
      <c r="L108" s="56" t="str">
        <f t="shared" si="51"/>
        <v xml:space="preserve">Red </v>
      </c>
      <c r="M108" s="56" t="str">
        <f t="shared" si="52"/>
        <v>Black</v>
      </c>
      <c r="N108" s="56" t="str">
        <f t="shared" si="34"/>
        <v>42-082</v>
      </c>
      <c r="O108" s="56" t="str">
        <f t="shared" si="35"/>
        <v>42-083</v>
      </c>
      <c r="P108" s="56" t="str">
        <f t="shared" si="36"/>
        <v>42-082</v>
      </c>
      <c r="Q108" s="56" t="str">
        <f t="shared" si="37"/>
        <v>42-083</v>
      </c>
      <c r="R108" s="37">
        <v>270</v>
      </c>
      <c r="S108" s="37">
        <v>23.26</v>
      </c>
      <c r="T108" s="37">
        <v>9.75</v>
      </c>
      <c r="U108" s="37">
        <v>351.53</v>
      </c>
      <c r="V108" s="37">
        <v>18.54</v>
      </c>
      <c r="W108" s="37">
        <v>34.31</v>
      </c>
      <c r="X108" s="37">
        <f t="shared" si="27"/>
        <v>20.590423953791454</v>
      </c>
      <c r="Y108" s="37">
        <f t="shared" si="28"/>
        <v>23.640844850610591</v>
      </c>
      <c r="Z108" s="37">
        <v>35.979999999999997</v>
      </c>
      <c r="AA108" s="37">
        <v>51.84</v>
      </c>
      <c r="AB108" s="37">
        <f t="shared" si="38"/>
        <v>621.53</v>
      </c>
      <c r="AC108" s="37">
        <f t="shared" si="53"/>
        <v>0.42772584897744703</v>
      </c>
      <c r="AD108" s="37">
        <f t="shared" si="54"/>
        <v>0.57227415102255297</v>
      </c>
      <c r="AE108" s="37">
        <f t="shared" si="55"/>
        <v>0.54396518420890061</v>
      </c>
      <c r="AF108" s="37">
        <f t="shared" si="29"/>
        <v>0.45603481579109933</v>
      </c>
      <c r="AG108" s="37">
        <v>1</v>
      </c>
      <c r="AH108" s="37">
        <f t="shared" si="56"/>
        <v>144.61012353700551</v>
      </c>
      <c r="AI108" s="37">
        <f t="shared" si="57"/>
        <v>193.48055740435248</v>
      </c>
      <c r="AJ108" s="37">
        <f t="shared" si="58"/>
        <v>121.23432337794712</v>
      </c>
      <c r="AK108" s="37">
        <f t="shared" si="59"/>
        <v>162.20499568069485</v>
      </c>
      <c r="AL108" s="2"/>
    </row>
    <row r="109" spans="2:38" x14ac:dyDescent="0.2">
      <c r="B109" s="51" t="s">
        <v>28</v>
      </c>
      <c r="C109" s="51" t="s">
        <v>84</v>
      </c>
      <c r="D109" s="51">
        <v>15</v>
      </c>
      <c r="E109" s="51" t="s">
        <v>75</v>
      </c>
      <c r="F109" s="37" t="str">
        <f t="shared" si="30"/>
        <v>6219K73</v>
      </c>
      <c r="G109" s="37" t="str">
        <f t="shared" si="31"/>
        <v>6219K73</v>
      </c>
      <c r="H109" s="37" t="str">
        <f t="shared" si="32"/>
        <v>6219K72</v>
      </c>
      <c r="I109" s="37" t="str">
        <f t="shared" si="33"/>
        <v>6219K73</v>
      </c>
      <c r="J109" s="56" t="str">
        <f t="shared" si="49"/>
        <v>Black</v>
      </c>
      <c r="K109" s="56" t="str">
        <f t="shared" si="50"/>
        <v>Black</v>
      </c>
      <c r="L109" s="56" t="str">
        <f t="shared" si="51"/>
        <v xml:space="preserve">Red </v>
      </c>
      <c r="M109" s="56" t="str">
        <f t="shared" si="52"/>
        <v>Black</v>
      </c>
      <c r="N109" s="56" t="str">
        <f t="shared" si="34"/>
        <v>42-083</v>
      </c>
      <c r="O109" s="56" t="str">
        <f t="shared" si="35"/>
        <v>42-083</v>
      </c>
      <c r="P109" s="56" t="str">
        <f t="shared" si="36"/>
        <v>42-082</v>
      </c>
      <c r="Q109" s="56" t="str">
        <f t="shared" si="37"/>
        <v>42-083</v>
      </c>
      <c r="R109" s="37">
        <v>270</v>
      </c>
      <c r="S109" s="37">
        <v>23.26</v>
      </c>
      <c r="T109" s="37">
        <v>9.75</v>
      </c>
      <c r="U109" s="37">
        <v>361.45</v>
      </c>
      <c r="V109" s="37">
        <v>18.46</v>
      </c>
      <c r="W109" s="37">
        <v>31.79</v>
      </c>
      <c r="X109" s="37">
        <f t="shared" si="27"/>
        <v>20.512419035553091</v>
      </c>
      <c r="Y109" s="37">
        <f t="shared" si="28"/>
        <v>22.365975928418717</v>
      </c>
      <c r="Z109" s="37">
        <v>35.979999999999997</v>
      </c>
      <c r="AA109" s="37">
        <v>51.84</v>
      </c>
      <c r="AB109" s="37">
        <f t="shared" si="38"/>
        <v>631.45000000000005</v>
      </c>
      <c r="AC109" s="37">
        <f t="shared" si="53"/>
        <v>0.42989385671058666</v>
      </c>
      <c r="AD109" s="37">
        <f t="shared" si="54"/>
        <v>0.57010614328941334</v>
      </c>
      <c r="AE109" s="37">
        <f t="shared" si="55"/>
        <v>0.5685575631092068</v>
      </c>
      <c r="AF109" s="37">
        <f t="shared" si="29"/>
        <v>0.43144243689079315</v>
      </c>
      <c r="AG109" s="37">
        <v>1</v>
      </c>
      <c r="AH109" s="37">
        <f t="shared" si="56"/>
        <v>154.33863238237566</v>
      </c>
      <c r="AI109" s="37">
        <f t="shared" si="57"/>
        <v>204.677040842933</v>
      </c>
      <c r="AJ109" s="37">
        <f t="shared" si="58"/>
        <v>117.11784343752431</v>
      </c>
      <c r="AK109" s="37">
        <f t="shared" si="59"/>
        <v>155.31648333716703</v>
      </c>
      <c r="AL109" s="2"/>
    </row>
    <row r="110" spans="2:38" x14ac:dyDescent="0.2">
      <c r="B110" s="51" t="s">
        <v>29</v>
      </c>
      <c r="C110" s="51" t="s">
        <v>74</v>
      </c>
      <c r="D110" s="51">
        <v>7.5</v>
      </c>
      <c r="E110" s="51" t="s">
        <v>75</v>
      </c>
      <c r="F110" s="37" t="str">
        <f t="shared" si="30"/>
        <v>6219K72</v>
      </c>
      <c r="G110" s="37" t="str">
        <f t="shared" si="31"/>
        <v>6219K73</v>
      </c>
      <c r="H110" s="37" t="str">
        <f t="shared" si="32"/>
        <v>6219K73</v>
      </c>
      <c r="I110" s="37" t="str">
        <f t="shared" si="33"/>
        <v>6219K73</v>
      </c>
      <c r="J110" s="56" t="str">
        <f t="shared" si="49"/>
        <v xml:space="preserve">Red </v>
      </c>
      <c r="K110" s="56" t="str">
        <f t="shared" si="50"/>
        <v>Black</v>
      </c>
      <c r="L110" s="56" t="str">
        <f t="shared" si="51"/>
        <v>Black</v>
      </c>
      <c r="M110" s="56" t="str">
        <f t="shared" si="52"/>
        <v>Black</v>
      </c>
      <c r="N110" s="56" t="str">
        <f t="shared" si="34"/>
        <v>42-082</v>
      </c>
      <c r="O110" s="56" t="str">
        <f t="shared" si="35"/>
        <v>42-083</v>
      </c>
      <c r="P110" s="56" t="str">
        <f t="shared" si="36"/>
        <v>42-083</v>
      </c>
      <c r="Q110" s="56" t="str">
        <f t="shared" si="37"/>
        <v>42-083</v>
      </c>
      <c r="R110" s="37">
        <v>128</v>
      </c>
      <c r="S110" s="37">
        <v>29.08</v>
      </c>
      <c r="T110" s="37">
        <v>11.52</v>
      </c>
      <c r="U110" s="37">
        <v>532.47</v>
      </c>
      <c r="V110" s="37">
        <v>24.52</v>
      </c>
      <c r="W110" s="37">
        <v>41.77</v>
      </c>
      <c r="X110" s="37">
        <f t="shared" si="27"/>
        <v>25.403734310415309</v>
      </c>
      <c r="Y110" s="37">
        <f t="shared" si="28"/>
        <v>35.907508138144053</v>
      </c>
      <c r="Z110" s="37">
        <v>42.54</v>
      </c>
      <c r="AA110" s="37">
        <v>61.16</v>
      </c>
      <c r="AB110" s="37">
        <f t="shared" si="38"/>
        <v>660.47</v>
      </c>
      <c r="AC110" s="37">
        <f t="shared" si="53"/>
        <v>0.40282712011247512</v>
      </c>
      <c r="AD110" s="37">
        <f t="shared" si="54"/>
        <v>0.59717287988752488</v>
      </c>
      <c r="AE110" s="37">
        <f t="shared" si="55"/>
        <v>0.41289228027887415</v>
      </c>
      <c r="AF110" s="37">
        <f t="shared" si="29"/>
        <v>0.58710771972112585</v>
      </c>
      <c r="AG110" s="37">
        <v>1</v>
      </c>
      <c r="AH110" s="37">
        <f t="shared" si="56"/>
        <v>109.85214977757704</v>
      </c>
      <c r="AI110" s="37">
        <f t="shared" si="57"/>
        <v>162.85081457821099</v>
      </c>
      <c r="AJ110" s="37">
        <f t="shared" si="58"/>
        <v>156.20307824310942</v>
      </c>
      <c r="AK110" s="37">
        <f t="shared" si="59"/>
        <v>231.56395740110258</v>
      </c>
      <c r="AL110" s="2"/>
    </row>
    <row r="111" spans="2:38" x14ac:dyDescent="0.2">
      <c r="B111" s="51" t="s">
        <v>29</v>
      </c>
      <c r="C111" s="51" t="s">
        <v>83</v>
      </c>
      <c r="D111" s="51">
        <v>7.5</v>
      </c>
      <c r="E111" s="51" t="s">
        <v>75</v>
      </c>
      <c r="F111" s="37" t="str">
        <f t="shared" si="30"/>
        <v>6219K72</v>
      </c>
      <c r="G111" s="37" t="str">
        <f t="shared" si="31"/>
        <v>6219K72</v>
      </c>
      <c r="H111" s="37" t="str">
        <f t="shared" si="32"/>
        <v>6219K73</v>
      </c>
      <c r="I111" s="37" t="str">
        <f t="shared" si="33"/>
        <v>6219K73</v>
      </c>
      <c r="J111" s="56" t="str">
        <f t="shared" si="49"/>
        <v xml:space="preserve">Red </v>
      </c>
      <c r="K111" s="56" t="str">
        <f t="shared" si="50"/>
        <v xml:space="preserve">Red </v>
      </c>
      <c r="L111" s="56" t="str">
        <f t="shared" si="51"/>
        <v>Black</v>
      </c>
      <c r="M111" s="56" t="str">
        <f t="shared" si="52"/>
        <v>Black</v>
      </c>
      <c r="N111" s="56" t="str">
        <f t="shared" si="34"/>
        <v>42-082</v>
      </c>
      <c r="O111" s="56" t="str">
        <f t="shared" si="35"/>
        <v>42-082</v>
      </c>
      <c r="P111" s="56" t="str">
        <f t="shared" si="36"/>
        <v>42-083</v>
      </c>
      <c r="Q111" s="56" t="str">
        <f t="shared" si="37"/>
        <v>42-083</v>
      </c>
      <c r="R111" s="37">
        <v>128</v>
      </c>
      <c r="S111" s="37">
        <v>29.08</v>
      </c>
      <c r="T111" s="37">
        <v>11.52</v>
      </c>
      <c r="U111" s="37">
        <v>480.4</v>
      </c>
      <c r="V111" s="37">
        <v>22.12</v>
      </c>
      <c r="W111" s="37">
        <v>41.12</v>
      </c>
      <c r="X111" s="37">
        <f t="shared" si="27"/>
        <v>23.584299802761343</v>
      </c>
      <c r="Y111" s="37">
        <f t="shared" si="28"/>
        <v>34.892518080210387</v>
      </c>
      <c r="Z111" s="37">
        <v>42.54</v>
      </c>
      <c r="AA111" s="37">
        <v>61.16</v>
      </c>
      <c r="AB111" s="37">
        <f t="shared" si="38"/>
        <v>608.4</v>
      </c>
      <c r="AC111" s="37">
        <f t="shared" si="53"/>
        <v>0.44559708973292567</v>
      </c>
      <c r="AD111" s="37">
        <f t="shared" si="54"/>
        <v>0.55440291026707433</v>
      </c>
      <c r="AE111" s="37">
        <f t="shared" si="55"/>
        <v>0.42948793197824742</v>
      </c>
      <c r="AF111" s="37">
        <f t="shared" si="29"/>
        <v>0.57051206802175258</v>
      </c>
      <c r="AG111" s="37">
        <v>1</v>
      </c>
      <c r="AH111" s="37">
        <f t="shared" si="56"/>
        <v>116.4347235484972</v>
      </c>
      <c r="AI111" s="37">
        <f t="shared" si="57"/>
        <v>144.86573426706852</v>
      </c>
      <c r="AJ111" s="37">
        <f t="shared" si="58"/>
        <v>154.66654584501478</v>
      </c>
      <c r="AK111" s="37">
        <f t="shared" si="59"/>
        <v>192.43299633941947</v>
      </c>
      <c r="AL111" s="2"/>
    </row>
    <row r="112" spans="2:38" x14ac:dyDescent="0.2">
      <c r="B112" s="51" t="s">
        <v>29</v>
      </c>
      <c r="C112" s="51" t="s">
        <v>84</v>
      </c>
      <c r="D112" s="51">
        <v>7.5</v>
      </c>
      <c r="E112" s="51" t="s">
        <v>75</v>
      </c>
      <c r="F112" s="37" t="str">
        <f t="shared" si="30"/>
        <v>6219K72</v>
      </c>
      <c r="G112" s="37" t="str">
        <f t="shared" si="31"/>
        <v>6219K72</v>
      </c>
      <c r="H112" s="37" t="str">
        <f t="shared" si="32"/>
        <v>6219K73</v>
      </c>
      <c r="I112" s="37" t="str">
        <f t="shared" si="33"/>
        <v>6219K73</v>
      </c>
      <c r="J112" s="56" t="str">
        <f t="shared" si="49"/>
        <v xml:space="preserve">Red </v>
      </c>
      <c r="K112" s="56" t="str">
        <f t="shared" si="50"/>
        <v xml:space="preserve">Red </v>
      </c>
      <c r="L112" s="56" t="str">
        <f t="shared" si="51"/>
        <v>Black</v>
      </c>
      <c r="M112" s="56" t="str">
        <f t="shared" si="52"/>
        <v>Black</v>
      </c>
      <c r="N112" s="56" t="str">
        <f t="shared" si="34"/>
        <v>42-082</v>
      </c>
      <c r="O112" s="56" t="str">
        <f t="shared" si="35"/>
        <v>42-082</v>
      </c>
      <c r="P112" s="56" t="str">
        <f t="shared" si="36"/>
        <v>42-083</v>
      </c>
      <c r="Q112" s="56" t="str">
        <f t="shared" si="37"/>
        <v>42-083</v>
      </c>
      <c r="R112" s="37">
        <v>128</v>
      </c>
      <c r="S112" s="37">
        <v>29.08</v>
      </c>
      <c r="T112" s="37">
        <v>11.52</v>
      </c>
      <c r="U112" s="37">
        <v>493.95</v>
      </c>
      <c r="V112" s="37">
        <v>21.93</v>
      </c>
      <c r="W112" s="37">
        <v>40.67</v>
      </c>
      <c r="X112" s="37">
        <f t="shared" si="27"/>
        <v>23.401500924511616</v>
      </c>
      <c r="Y112" s="37">
        <f t="shared" si="28"/>
        <v>34.670803923144952</v>
      </c>
      <c r="Z112" s="37">
        <v>42.54</v>
      </c>
      <c r="AA112" s="37">
        <v>61.16</v>
      </c>
      <c r="AB112" s="37">
        <f t="shared" si="38"/>
        <v>621.95000000000005</v>
      </c>
      <c r="AC112" s="37">
        <f t="shared" si="53"/>
        <v>0.4498941954745741</v>
      </c>
      <c r="AD112" s="37">
        <f t="shared" si="54"/>
        <v>0.5501058045254259</v>
      </c>
      <c r="AE112" s="37">
        <f t="shared" si="55"/>
        <v>0.43311308170135787</v>
      </c>
      <c r="AF112" s="37">
        <f t="shared" si="29"/>
        <v>0.56688691829864213</v>
      </c>
      <c r="AG112" s="37">
        <v>1</v>
      </c>
      <c r="AH112" s="37">
        <f t="shared" si="56"/>
        <v>121.19010546356947</v>
      </c>
      <c r="AI112" s="37">
        <f t="shared" si="57"/>
        <v>148.18457570059007</v>
      </c>
      <c r="AJ112" s="37">
        <f t="shared" si="58"/>
        <v>158.62158941184191</v>
      </c>
      <c r="AK112" s="37">
        <f t="shared" si="59"/>
        <v>193.9537294239986</v>
      </c>
      <c r="AL112" s="2"/>
    </row>
    <row r="113" spans="2:38" x14ac:dyDescent="0.2">
      <c r="B113" s="51" t="s">
        <v>29</v>
      </c>
      <c r="C113" s="51" t="s">
        <v>74</v>
      </c>
      <c r="D113" s="51">
        <v>10</v>
      </c>
      <c r="E113" s="51" t="s">
        <v>75</v>
      </c>
      <c r="F113" s="37" t="str">
        <f t="shared" si="30"/>
        <v>6219K72</v>
      </c>
      <c r="G113" s="37" t="str">
        <f t="shared" si="31"/>
        <v>6219K73</v>
      </c>
      <c r="H113" s="37" t="str">
        <f t="shared" si="32"/>
        <v>6219K73</v>
      </c>
      <c r="I113" s="37" t="str">
        <f t="shared" si="33"/>
        <v>6219K73</v>
      </c>
      <c r="J113" s="56" t="str">
        <f t="shared" si="49"/>
        <v xml:space="preserve">Red </v>
      </c>
      <c r="K113" s="56" t="str">
        <f t="shared" si="50"/>
        <v>Black</v>
      </c>
      <c r="L113" s="56" t="str">
        <f t="shared" si="51"/>
        <v>Black</v>
      </c>
      <c r="M113" s="56" t="str">
        <f t="shared" si="52"/>
        <v>Black</v>
      </c>
      <c r="N113" s="56" t="str">
        <f t="shared" si="34"/>
        <v>42-082</v>
      </c>
      <c r="O113" s="56" t="str">
        <f t="shared" si="35"/>
        <v>42-083</v>
      </c>
      <c r="P113" s="56" t="str">
        <f t="shared" si="36"/>
        <v>42-083</v>
      </c>
      <c r="Q113" s="56" t="str">
        <f t="shared" si="37"/>
        <v>42-083</v>
      </c>
      <c r="R113" s="37">
        <v>165</v>
      </c>
      <c r="S113" s="37">
        <v>29.08</v>
      </c>
      <c r="T113" s="37">
        <v>11.52</v>
      </c>
      <c r="U113" s="37">
        <v>532.47</v>
      </c>
      <c r="V113" s="37">
        <v>24.52</v>
      </c>
      <c r="W113" s="37">
        <v>41.77</v>
      </c>
      <c r="X113" s="37">
        <f t="shared" si="27"/>
        <v>25.598756075530126</v>
      </c>
      <c r="Y113" s="37">
        <f t="shared" si="28"/>
        <v>34.613778227020518</v>
      </c>
      <c r="Z113" s="37">
        <v>42.54</v>
      </c>
      <c r="AA113" s="37">
        <v>61.16</v>
      </c>
      <c r="AB113" s="37">
        <f t="shared" si="38"/>
        <v>697.47</v>
      </c>
      <c r="AC113" s="37">
        <f t="shared" si="53"/>
        <v>0.39824268745815405</v>
      </c>
      <c r="AD113" s="37">
        <f t="shared" si="54"/>
        <v>0.60175731254184595</v>
      </c>
      <c r="AE113" s="37">
        <f t="shared" si="55"/>
        <v>0.43404548353465466</v>
      </c>
      <c r="AF113" s="37">
        <f t="shared" si="29"/>
        <v>0.56595451646534534</v>
      </c>
      <c r="AG113" s="37">
        <v>1</v>
      </c>
      <c r="AH113" s="37">
        <f t="shared" si="56"/>
        <v>120.56148362654035</v>
      </c>
      <c r="AI113" s="37">
        <f t="shared" si="57"/>
        <v>182.17221977437526</v>
      </c>
      <c r="AJ113" s="37">
        <f t="shared" si="58"/>
        <v>157.2008435948984</v>
      </c>
      <c r="AK113" s="37">
        <f t="shared" si="59"/>
        <v>237.53545300418602</v>
      </c>
      <c r="AL113" s="2"/>
    </row>
    <row r="114" spans="2:38" x14ac:dyDescent="0.2">
      <c r="B114" s="51" t="s">
        <v>29</v>
      </c>
      <c r="C114" s="51" t="s">
        <v>83</v>
      </c>
      <c r="D114" s="51">
        <v>10</v>
      </c>
      <c r="E114" s="51" t="s">
        <v>75</v>
      </c>
      <c r="F114" s="37" t="str">
        <f t="shared" si="30"/>
        <v>6219K72</v>
      </c>
      <c r="G114" s="37" t="str">
        <f t="shared" si="31"/>
        <v>6219K73</v>
      </c>
      <c r="H114" s="37" t="str">
        <f t="shared" si="32"/>
        <v>6219K73</v>
      </c>
      <c r="I114" s="37" t="str">
        <f t="shared" si="33"/>
        <v>6219K73</v>
      </c>
      <c r="J114" s="56" t="str">
        <f t="shared" si="49"/>
        <v xml:space="preserve">Red </v>
      </c>
      <c r="K114" s="56" t="str">
        <f t="shared" si="50"/>
        <v>Black</v>
      </c>
      <c r="L114" s="56" t="str">
        <f t="shared" si="51"/>
        <v>Black</v>
      </c>
      <c r="M114" s="56" t="str">
        <f t="shared" si="52"/>
        <v>Black</v>
      </c>
      <c r="N114" s="56" t="str">
        <f t="shared" si="34"/>
        <v>42-082</v>
      </c>
      <c r="O114" s="56" t="str">
        <f t="shared" si="35"/>
        <v>42-083</v>
      </c>
      <c r="P114" s="56" t="str">
        <f t="shared" si="36"/>
        <v>42-083</v>
      </c>
      <c r="Q114" s="56" t="str">
        <f t="shared" si="37"/>
        <v>42-083</v>
      </c>
      <c r="R114" s="37">
        <v>165</v>
      </c>
      <c r="S114" s="37">
        <v>29.08</v>
      </c>
      <c r="T114" s="37">
        <v>11.52</v>
      </c>
      <c r="U114" s="37">
        <v>480.4</v>
      </c>
      <c r="V114" s="37">
        <v>22.12</v>
      </c>
      <c r="W114" s="37">
        <v>41.12</v>
      </c>
      <c r="X114" s="37">
        <f t="shared" si="27"/>
        <v>23.899361636194609</v>
      </c>
      <c r="Y114" s="37">
        <f t="shared" si="28"/>
        <v>33.552599938022929</v>
      </c>
      <c r="Z114" s="37">
        <v>42.54</v>
      </c>
      <c r="AA114" s="37">
        <v>61.16</v>
      </c>
      <c r="AB114" s="37">
        <f t="shared" si="38"/>
        <v>645.4</v>
      </c>
      <c r="AC114" s="37">
        <f t="shared" si="53"/>
        <v>0.43819084071004677</v>
      </c>
      <c r="AD114" s="37">
        <f t="shared" si="54"/>
        <v>0.56180915928995323</v>
      </c>
      <c r="AE114" s="37">
        <f t="shared" si="55"/>
        <v>0.45139633848883365</v>
      </c>
      <c r="AF114" s="37">
        <f t="shared" si="29"/>
        <v>0.54860366151116635</v>
      </c>
      <c r="AG114" s="37">
        <v>1</v>
      </c>
      <c r="AH114" s="37">
        <f t="shared" si="56"/>
        <v>127.6586620774513</v>
      </c>
      <c r="AI114" s="37">
        <f t="shared" si="57"/>
        <v>163.67253478324193</v>
      </c>
      <c r="AJ114" s="37">
        <f t="shared" si="58"/>
        <v>155.14970651681287</v>
      </c>
      <c r="AK114" s="37">
        <f t="shared" si="59"/>
        <v>198.9190966224939</v>
      </c>
      <c r="AL114" s="2"/>
    </row>
    <row r="115" spans="2:38" x14ac:dyDescent="0.2">
      <c r="B115" s="51" t="s">
        <v>29</v>
      </c>
      <c r="C115" s="51" t="s">
        <v>84</v>
      </c>
      <c r="D115" s="51">
        <v>10</v>
      </c>
      <c r="E115" s="51" t="s">
        <v>75</v>
      </c>
      <c r="F115" s="37" t="str">
        <f t="shared" si="30"/>
        <v>6219K72</v>
      </c>
      <c r="G115" s="37" t="str">
        <f t="shared" si="31"/>
        <v>6219K73</v>
      </c>
      <c r="H115" s="37" t="str">
        <f t="shared" si="32"/>
        <v>6219K73</v>
      </c>
      <c r="I115" s="37" t="str">
        <f t="shared" si="33"/>
        <v>6219K73</v>
      </c>
      <c r="J115" s="56" t="str">
        <f t="shared" si="49"/>
        <v xml:space="preserve">Red </v>
      </c>
      <c r="K115" s="56" t="str">
        <f t="shared" si="50"/>
        <v>Black</v>
      </c>
      <c r="L115" s="56" t="str">
        <f t="shared" si="51"/>
        <v>Black</v>
      </c>
      <c r="M115" s="56" t="str">
        <f t="shared" si="52"/>
        <v>Black</v>
      </c>
      <c r="N115" s="56" t="str">
        <f t="shared" si="34"/>
        <v>42-082</v>
      </c>
      <c r="O115" s="56" t="str">
        <f t="shared" si="35"/>
        <v>42-083</v>
      </c>
      <c r="P115" s="56" t="str">
        <f t="shared" si="36"/>
        <v>42-083</v>
      </c>
      <c r="Q115" s="56" t="str">
        <f t="shared" si="37"/>
        <v>42-083</v>
      </c>
      <c r="R115" s="37">
        <v>165</v>
      </c>
      <c r="S115" s="37">
        <v>29.08</v>
      </c>
      <c r="T115" s="37">
        <v>11.52</v>
      </c>
      <c r="U115" s="37">
        <v>493.95</v>
      </c>
      <c r="V115" s="37">
        <v>21.93</v>
      </c>
      <c r="W115" s="37">
        <v>40.67</v>
      </c>
      <c r="X115" s="37">
        <f t="shared" si="27"/>
        <v>23.720348281356703</v>
      </c>
      <c r="Y115" s="37">
        <f t="shared" si="28"/>
        <v>33.370887776007287</v>
      </c>
      <c r="Z115" s="37">
        <v>42.54</v>
      </c>
      <c r="AA115" s="37">
        <v>61.16</v>
      </c>
      <c r="AB115" s="37">
        <f t="shared" si="38"/>
        <v>658.95</v>
      </c>
      <c r="AC115" s="37">
        <f t="shared" si="53"/>
        <v>0.44239895906542781</v>
      </c>
      <c r="AD115" s="37">
        <f t="shared" si="54"/>
        <v>0.55760104093457219</v>
      </c>
      <c r="AE115" s="37">
        <f t="shared" si="55"/>
        <v>0.45436743335501495</v>
      </c>
      <c r="AF115" s="37">
        <f t="shared" si="29"/>
        <v>0.54563256664498505</v>
      </c>
      <c r="AG115" s="37">
        <v>1</v>
      </c>
      <c r="AH115" s="37">
        <f t="shared" si="56"/>
        <v>132.45664623913561</v>
      </c>
      <c r="AI115" s="37">
        <f t="shared" si="57"/>
        <v>166.94877397015151</v>
      </c>
      <c r="AJ115" s="37">
        <f t="shared" si="58"/>
        <v>159.06214783702805</v>
      </c>
      <c r="AK115" s="37">
        <f t="shared" si="59"/>
        <v>200.48243195368488</v>
      </c>
      <c r="AL115" s="2"/>
    </row>
    <row r="116" spans="2:38" x14ac:dyDescent="0.2">
      <c r="B116" s="51" t="s">
        <v>29</v>
      </c>
      <c r="C116" s="51" t="s">
        <v>74</v>
      </c>
      <c r="D116" s="51">
        <v>15</v>
      </c>
      <c r="E116" s="51" t="s">
        <v>75</v>
      </c>
      <c r="F116" s="37" t="str">
        <f t="shared" si="30"/>
        <v>6219K73</v>
      </c>
      <c r="G116" s="37" t="str">
        <f t="shared" si="31"/>
        <v>6219K73</v>
      </c>
      <c r="H116" s="37" t="str">
        <f t="shared" si="32"/>
        <v>6219K73</v>
      </c>
      <c r="I116" s="37" t="str">
        <f t="shared" si="33"/>
        <v>6219K87</v>
      </c>
      <c r="J116" s="56" t="str">
        <f t="shared" si="49"/>
        <v>Black</v>
      </c>
      <c r="K116" s="56" t="str">
        <f t="shared" si="50"/>
        <v>Black</v>
      </c>
      <c r="L116" s="56" t="str">
        <f t="shared" si="51"/>
        <v>Black</v>
      </c>
      <c r="M116" s="56" t="str">
        <f t="shared" si="52"/>
        <v>Yellow</v>
      </c>
      <c r="N116" s="56" t="str">
        <f t="shared" si="34"/>
        <v>42-083</v>
      </c>
      <c r="O116" s="56" t="str">
        <f t="shared" si="35"/>
        <v>42-083</v>
      </c>
      <c r="P116" s="56" t="str">
        <f t="shared" si="36"/>
        <v>42-083</v>
      </c>
      <c r="Q116" s="56" t="str">
        <f t="shared" si="37"/>
        <v>42-084</v>
      </c>
      <c r="R116" s="37">
        <v>270</v>
      </c>
      <c r="S116" s="37">
        <v>29.08</v>
      </c>
      <c r="T116" s="37">
        <v>11.52</v>
      </c>
      <c r="U116" s="37">
        <v>532.47</v>
      </c>
      <c r="V116" s="37">
        <v>24.52</v>
      </c>
      <c r="W116" s="37">
        <v>41.77</v>
      </c>
      <c r="X116" s="37">
        <f t="shared" si="27"/>
        <v>26.054262963101422</v>
      </c>
      <c r="Y116" s="37">
        <f t="shared" si="28"/>
        <v>31.592049422408319</v>
      </c>
      <c r="Z116" s="37">
        <v>42.54</v>
      </c>
      <c r="AA116" s="37">
        <v>61.16</v>
      </c>
      <c r="AB116" s="37">
        <f t="shared" si="38"/>
        <v>802.47</v>
      </c>
      <c r="AC116" s="37">
        <f t="shared" si="53"/>
        <v>0.38753495620353962</v>
      </c>
      <c r="AD116" s="37">
        <f t="shared" si="54"/>
        <v>0.61246504379646038</v>
      </c>
      <c r="AE116" s="37">
        <f t="shared" si="55"/>
        <v>0.48345242932622101</v>
      </c>
      <c r="AF116" s="37">
        <f t="shared" si="29"/>
        <v>0.51654757067377899</v>
      </c>
      <c r="AG116" s="37">
        <v>1</v>
      </c>
      <c r="AH116" s="37">
        <f t="shared" si="56"/>
        <v>150.34653896892831</v>
      </c>
      <c r="AI116" s="37">
        <f t="shared" si="57"/>
        <v>237.60953199248425</v>
      </c>
      <c r="AJ116" s="37">
        <f t="shared" si="58"/>
        <v>160.63863733572612</v>
      </c>
      <c r="AK116" s="37">
        <f t="shared" si="59"/>
        <v>253.87529170286135</v>
      </c>
      <c r="AL116" s="2"/>
    </row>
    <row r="117" spans="2:38" x14ac:dyDescent="0.2">
      <c r="B117" s="51" t="s">
        <v>29</v>
      </c>
      <c r="C117" s="51" t="s">
        <v>83</v>
      </c>
      <c r="D117" s="51">
        <v>15</v>
      </c>
      <c r="E117" s="51" t="s">
        <v>75</v>
      </c>
      <c r="F117" s="37" t="str">
        <f t="shared" si="30"/>
        <v>6219K73</v>
      </c>
      <c r="G117" s="37" t="str">
        <f t="shared" si="31"/>
        <v>6219K73</v>
      </c>
      <c r="H117" s="37" t="str">
        <f t="shared" si="32"/>
        <v>6219K73</v>
      </c>
      <c r="I117" s="37" t="str">
        <f t="shared" si="33"/>
        <v>6219K73</v>
      </c>
      <c r="J117" s="56" t="str">
        <f t="shared" si="49"/>
        <v>Black</v>
      </c>
      <c r="K117" s="56" t="str">
        <f t="shared" si="50"/>
        <v>Black</v>
      </c>
      <c r="L117" s="56" t="str">
        <f t="shared" si="51"/>
        <v>Black</v>
      </c>
      <c r="M117" s="56" t="str">
        <f t="shared" si="52"/>
        <v>Black</v>
      </c>
      <c r="N117" s="56" t="str">
        <f t="shared" si="34"/>
        <v>42-083</v>
      </c>
      <c r="O117" s="56" t="str">
        <f t="shared" si="35"/>
        <v>42-083</v>
      </c>
      <c r="P117" s="56" t="str">
        <f t="shared" si="36"/>
        <v>42-083</v>
      </c>
      <c r="Q117" s="56" t="str">
        <f t="shared" si="37"/>
        <v>42-083</v>
      </c>
      <c r="R117" s="37">
        <v>270</v>
      </c>
      <c r="S117" s="37">
        <v>29.08</v>
      </c>
      <c r="T117" s="37">
        <v>11.52</v>
      </c>
      <c r="U117" s="37">
        <v>480.4</v>
      </c>
      <c r="V117" s="37">
        <v>22.12</v>
      </c>
      <c r="W117" s="37">
        <v>41.12</v>
      </c>
      <c r="X117" s="37">
        <f t="shared" si="27"/>
        <v>24.624264392324093</v>
      </c>
      <c r="Y117" s="37">
        <f t="shared" si="28"/>
        <v>30.469680170575693</v>
      </c>
      <c r="Z117" s="37">
        <v>42.54</v>
      </c>
      <c r="AA117" s="37">
        <v>61.16</v>
      </c>
      <c r="AB117" s="37">
        <f t="shared" si="38"/>
        <v>750.4</v>
      </c>
      <c r="AC117" s="37">
        <f t="shared" si="53"/>
        <v>0.42115034338683366</v>
      </c>
      <c r="AD117" s="37">
        <f t="shared" si="54"/>
        <v>0.57884965661316634</v>
      </c>
      <c r="AE117" s="37">
        <f t="shared" si="55"/>
        <v>0.50180379053996571</v>
      </c>
      <c r="AF117" s="37">
        <f t="shared" si="29"/>
        <v>0.49819620946003423</v>
      </c>
      <c r="AG117" s="37">
        <v>1</v>
      </c>
      <c r="AH117" s="37">
        <f t="shared" si="56"/>
        <v>158.58566295952045</v>
      </c>
      <c r="AI117" s="37">
        <f t="shared" si="57"/>
        <v>217.96790146166978</v>
      </c>
      <c r="AJ117" s="37">
        <f t="shared" si="58"/>
        <v>157.44555471795948</v>
      </c>
      <c r="AK117" s="37">
        <f t="shared" si="59"/>
        <v>216.40088086085021</v>
      </c>
      <c r="AL117" s="2"/>
    </row>
    <row r="118" spans="2:38" x14ac:dyDescent="0.2">
      <c r="B118" s="51" t="s">
        <v>29</v>
      </c>
      <c r="C118" s="51" t="s">
        <v>84</v>
      </c>
      <c r="D118" s="51">
        <v>15</v>
      </c>
      <c r="E118" s="51" t="s">
        <v>75</v>
      </c>
      <c r="F118" s="37" t="str">
        <f t="shared" si="30"/>
        <v>6219K73</v>
      </c>
      <c r="G118" s="37" t="str">
        <f t="shared" si="31"/>
        <v>6219K73</v>
      </c>
      <c r="H118" s="37" t="str">
        <f t="shared" si="32"/>
        <v>6219K73</v>
      </c>
      <c r="I118" s="37" t="str">
        <f t="shared" si="33"/>
        <v>6219K73</v>
      </c>
      <c r="J118" s="56" t="str">
        <f t="shared" si="49"/>
        <v>Black</v>
      </c>
      <c r="K118" s="56" t="str">
        <f t="shared" si="50"/>
        <v>Black</v>
      </c>
      <c r="L118" s="56" t="str">
        <f t="shared" si="51"/>
        <v>Black</v>
      </c>
      <c r="M118" s="56" t="str">
        <f t="shared" si="52"/>
        <v>Black</v>
      </c>
      <c r="N118" s="56" t="str">
        <f t="shared" si="34"/>
        <v>42-083</v>
      </c>
      <c r="O118" s="56" t="str">
        <f t="shared" si="35"/>
        <v>42-083</v>
      </c>
      <c r="P118" s="56" t="str">
        <f t="shared" si="36"/>
        <v>42-083</v>
      </c>
      <c r="Q118" s="56" t="str">
        <f t="shared" si="37"/>
        <v>42-083</v>
      </c>
      <c r="R118" s="37">
        <v>270</v>
      </c>
      <c r="S118" s="37">
        <v>29.08</v>
      </c>
      <c r="T118" s="37">
        <v>11.52</v>
      </c>
      <c r="U118" s="37">
        <v>493.95</v>
      </c>
      <c r="V118" s="37">
        <v>21.93</v>
      </c>
      <c r="W118" s="37">
        <v>40.67</v>
      </c>
      <c r="X118" s="37">
        <f t="shared" si="27"/>
        <v>24.456997840172786</v>
      </c>
      <c r="Y118" s="37">
        <f t="shared" si="28"/>
        <v>30.367624190064799</v>
      </c>
      <c r="Z118" s="37">
        <v>42.54</v>
      </c>
      <c r="AA118" s="37">
        <v>61.16</v>
      </c>
      <c r="AB118" s="37">
        <f t="shared" si="38"/>
        <v>763.95</v>
      </c>
      <c r="AC118" s="37">
        <f t="shared" si="53"/>
        <v>0.42508232627708542</v>
      </c>
      <c r="AD118" s="37">
        <f t="shared" si="54"/>
        <v>0.57491767372291458</v>
      </c>
      <c r="AE118" s="37">
        <f t="shared" si="55"/>
        <v>0.5034724625561674</v>
      </c>
      <c r="AF118" s="37">
        <f t="shared" si="29"/>
        <v>0.4965275374438326</v>
      </c>
      <c r="AG118" s="37">
        <v>1</v>
      </c>
      <c r="AH118" s="37">
        <f t="shared" si="56"/>
        <v>163.49847477598891</v>
      </c>
      <c r="AI118" s="37">
        <f t="shared" si="57"/>
        <v>221.1293129937952</v>
      </c>
      <c r="AJ118" s="37">
        <f t="shared" si="58"/>
        <v>161.2431683833905</v>
      </c>
      <c r="AK118" s="37">
        <f t="shared" si="59"/>
        <v>218.07904384682544</v>
      </c>
      <c r="AL118" s="2"/>
    </row>
    <row r="119" spans="2:38" x14ac:dyDescent="0.2">
      <c r="B119" s="51" t="s">
        <v>29</v>
      </c>
      <c r="C119" s="51" t="s">
        <v>74</v>
      </c>
      <c r="D119" s="51">
        <v>20</v>
      </c>
      <c r="E119" s="51" t="s">
        <v>75</v>
      </c>
      <c r="F119" s="37" t="str">
        <f t="shared" si="30"/>
        <v>6219K73</v>
      </c>
      <c r="G119" s="37" t="str">
        <f t="shared" si="31"/>
        <v>6219K73</v>
      </c>
      <c r="H119" s="37" t="str">
        <f t="shared" si="32"/>
        <v>6219K73</v>
      </c>
      <c r="I119" s="37" t="str">
        <f t="shared" si="33"/>
        <v>6219K87</v>
      </c>
      <c r="J119" s="56" t="str">
        <f t="shared" si="49"/>
        <v>Black</v>
      </c>
      <c r="K119" s="56" t="str">
        <f t="shared" si="50"/>
        <v>Black</v>
      </c>
      <c r="L119" s="56" t="str">
        <f t="shared" si="51"/>
        <v>Black</v>
      </c>
      <c r="M119" s="56" t="str">
        <f t="shared" si="52"/>
        <v>Yellow</v>
      </c>
      <c r="N119" s="56" t="str">
        <f t="shared" si="34"/>
        <v>42-083</v>
      </c>
      <c r="O119" s="56" t="str">
        <f t="shared" si="35"/>
        <v>42-083</v>
      </c>
      <c r="P119" s="56" t="str">
        <f t="shared" si="36"/>
        <v>42-083</v>
      </c>
      <c r="Q119" s="56" t="str">
        <f t="shared" si="37"/>
        <v>42-084</v>
      </c>
      <c r="R119" s="37">
        <v>289</v>
      </c>
      <c r="S119" s="37">
        <v>29.08</v>
      </c>
      <c r="T119" s="37">
        <v>11.52</v>
      </c>
      <c r="U119" s="37">
        <v>532.47</v>
      </c>
      <c r="V119" s="37">
        <v>24.52</v>
      </c>
      <c r="W119" s="37">
        <v>41.77</v>
      </c>
      <c r="X119" s="37">
        <f t="shared" si="27"/>
        <v>26.124246046721119</v>
      </c>
      <c r="Y119" s="37">
        <f t="shared" si="28"/>
        <v>31.127797606729402</v>
      </c>
      <c r="Z119" s="37">
        <v>42.54</v>
      </c>
      <c r="AA119" s="37">
        <v>61.16</v>
      </c>
      <c r="AB119" s="37">
        <f t="shared" si="38"/>
        <v>821.47</v>
      </c>
      <c r="AC119" s="37">
        <f t="shared" si="53"/>
        <v>0.38588984375361735</v>
      </c>
      <c r="AD119" s="37">
        <f t="shared" si="54"/>
        <v>0.61411015624638265</v>
      </c>
      <c r="AE119" s="37">
        <f t="shared" si="55"/>
        <v>0.49104320459893058</v>
      </c>
      <c r="AF119" s="37">
        <f t="shared" si="29"/>
        <v>0.50895679540106942</v>
      </c>
      <c r="AG119" s="37">
        <v>1</v>
      </c>
      <c r="AH119" s="37">
        <f t="shared" si="56"/>
        <v>155.65918832982811</v>
      </c>
      <c r="AI119" s="37">
        <f t="shared" si="57"/>
        <v>247.71807295205542</v>
      </c>
      <c r="AJ119" s="37">
        <f t="shared" si="58"/>
        <v>161.33774161845594</v>
      </c>
      <c r="AK119" s="37">
        <f t="shared" si="59"/>
        <v>256.75499709966056</v>
      </c>
      <c r="AL119" s="2"/>
    </row>
    <row r="120" spans="2:38" x14ac:dyDescent="0.2">
      <c r="B120" s="51" t="s">
        <v>29</v>
      </c>
      <c r="C120" s="51" t="s">
        <v>83</v>
      </c>
      <c r="D120" s="51">
        <v>20</v>
      </c>
      <c r="E120" s="51" t="s">
        <v>75</v>
      </c>
      <c r="F120" s="37" t="str">
        <f t="shared" si="30"/>
        <v>6219K73</v>
      </c>
      <c r="G120" s="37" t="str">
        <f t="shared" si="31"/>
        <v>6219K73</v>
      </c>
      <c r="H120" s="37" t="str">
        <f t="shared" si="32"/>
        <v>6219K73</v>
      </c>
      <c r="I120" s="37" t="str">
        <f t="shared" si="33"/>
        <v>6219K73</v>
      </c>
      <c r="J120" s="56" t="str">
        <f t="shared" si="49"/>
        <v>Black</v>
      </c>
      <c r="K120" s="56" t="str">
        <f t="shared" si="50"/>
        <v>Black</v>
      </c>
      <c r="L120" s="56" t="str">
        <f t="shared" si="51"/>
        <v>Black</v>
      </c>
      <c r="M120" s="56" t="str">
        <f t="shared" si="52"/>
        <v>Black</v>
      </c>
      <c r="N120" s="56" t="str">
        <f t="shared" si="34"/>
        <v>42-083</v>
      </c>
      <c r="O120" s="56" t="str">
        <f t="shared" si="35"/>
        <v>42-083</v>
      </c>
      <c r="P120" s="56" t="str">
        <f t="shared" si="36"/>
        <v>42-083</v>
      </c>
      <c r="Q120" s="56" t="str">
        <f t="shared" si="37"/>
        <v>42-083</v>
      </c>
      <c r="R120" s="37">
        <v>289</v>
      </c>
      <c r="S120" s="37">
        <v>29.08</v>
      </c>
      <c r="T120" s="37">
        <v>11.52</v>
      </c>
      <c r="U120" s="37">
        <v>480.4</v>
      </c>
      <c r="V120" s="37">
        <v>22.12</v>
      </c>
      <c r="W120" s="37">
        <v>41.12</v>
      </c>
      <c r="X120" s="37">
        <f t="shared" si="27"/>
        <v>24.734296854691969</v>
      </c>
      <c r="Y120" s="37">
        <f t="shared" si="28"/>
        <v>30.001726020275537</v>
      </c>
      <c r="Z120" s="37">
        <v>42.54</v>
      </c>
      <c r="AA120" s="37">
        <v>61.16</v>
      </c>
      <c r="AB120" s="37">
        <f t="shared" si="38"/>
        <v>769.4</v>
      </c>
      <c r="AC120" s="37">
        <f t="shared" si="53"/>
        <v>0.41856377868613137</v>
      </c>
      <c r="AD120" s="37">
        <f t="shared" si="54"/>
        <v>0.58143622131386863</v>
      </c>
      <c r="AE120" s="37">
        <f t="shared" si="55"/>
        <v>0.50945510104193037</v>
      </c>
      <c r="AF120" s="37">
        <f t="shared" si="29"/>
        <v>0.49054489895806963</v>
      </c>
      <c r="AG120" s="37">
        <v>1</v>
      </c>
      <c r="AH120" s="37">
        <f t="shared" si="56"/>
        <v>164.0664344942393</v>
      </c>
      <c r="AI120" s="37">
        <f t="shared" si="57"/>
        <v>227.9083202474219</v>
      </c>
      <c r="AJ120" s="37">
        <f t="shared" si="58"/>
        <v>157.97653682687016</v>
      </c>
      <c r="AK120" s="37">
        <f t="shared" si="59"/>
        <v>219.44870843146862</v>
      </c>
      <c r="AL120" s="2"/>
    </row>
    <row r="121" spans="2:38" x14ac:dyDescent="0.2">
      <c r="B121" s="51" t="s">
        <v>29</v>
      </c>
      <c r="C121" s="51" t="s">
        <v>84</v>
      </c>
      <c r="D121" s="51">
        <v>20</v>
      </c>
      <c r="E121" s="51" t="s">
        <v>75</v>
      </c>
      <c r="F121" s="37" t="str">
        <f t="shared" si="30"/>
        <v>6219K73</v>
      </c>
      <c r="G121" s="37" t="str">
        <f t="shared" si="31"/>
        <v>6219K73</v>
      </c>
      <c r="H121" s="37" t="str">
        <f t="shared" si="32"/>
        <v>6219K73</v>
      </c>
      <c r="I121" s="37" t="str">
        <f t="shared" si="33"/>
        <v>6219K73</v>
      </c>
      <c r="J121" s="56" t="str">
        <f t="shared" si="49"/>
        <v>Black</v>
      </c>
      <c r="K121" s="56" t="str">
        <f t="shared" si="50"/>
        <v>Black</v>
      </c>
      <c r="L121" s="56" t="str">
        <f t="shared" si="51"/>
        <v>Black</v>
      </c>
      <c r="M121" s="56" t="str">
        <f t="shared" si="52"/>
        <v>Black</v>
      </c>
      <c r="N121" s="56" t="str">
        <f t="shared" si="34"/>
        <v>42-083</v>
      </c>
      <c r="O121" s="56" t="str">
        <f t="shared" si="35"/>
        <v>42-083</v>
      </c>
      <c r="P121" s="56" t="str">
        <f t="shared" si="36"/>
        <v>42-083</v>
      </c>
      <c r="Q121" s="56" t="str">
        <f t="shared" si="37"/>
        <v>42-083</v>
      </c>
      <c r="R121" s="37">
        <v>289</v>
      </c>
      <c r="S121" s="37">
        <v>29.08</v>
      </c>
      <c r="T121" s="37">
        <v>11.52</v>
      </c>
      <c r="U121" s="37">
        <v>493.95</v>
      </c>
      <c r="V121" s="37">
        <v>21.93</v>
      </c>
      <c r="W121" s="37">
        <v>40.67</v>
      </c>
      <c r="X121" s="37">
        <f t="shared" si="27"/>
        <v>24.569185133150267</v>
      </c>
      <c r="Y121" s="37">
        <f t="shared" si="28"/>
        <v>29.910245226387381</v>
      </c>
      <c r="Z121" s="37">
        <v>42.54</v>
      </c>
      <c r="AA121" s="37">
        <v>61.16</v>
      </c>
      <c r="AB121" s="37">
        <f t="shared" si="38"/>
        <v>782.95</v>
      </c>
      <c r="AC121" s="37">
        <f t="shared" si="53"/>
        <v>0.42244510735424856</v>
      </c>
      <c r="AD121" s="37">
        <f t="shared" si="54"/>
        <v>0.57755489264575144</v>
      </c>
      <c r="AE121" s="37">
        <f t="shared" si="55"/>
        <v>0.51095086287790414</v>
      </c>
      <c r="AF121" s="37">
        <f t="shared" si="29"/>
        <v>0.48904913712209586</v>
      </c>
      <c r="AG121" s="37">
        <v>1</v>
      </c>
      <c r="AH121" s="37">
        <f t="shared" si="56"/>
        <v>168.99873349629522</v>
      </c>
      <c r="AI121" s="37">
        <f t="shared" si="57"/>
        <v>231.05024459395986</v>
      </c>
      <c r="AJ121" s="37">
        <f t="shared" si="58"/>
        <v>161.7546633067137</v>
      </c>
      <c r="AK121" s="37">
        <f t="shared" si="59"/>
        <v>221.14635860303127</v>
      </c>
      <c r="AL121" s="2"/>
    </row>
    <row r="122" spans="2:38" x14ac:dyDescent="0.2">
      <c r="B122" s="51" t="s">
        <v>30</v>
      </c>
      <c r="C122" s="51" t="s">
        <v>74</v>
      </c>
      <c r="D122" s="51">
        <v>7.5</v>
      </c>
      <c r="E122" s="51" t="s">
        <v>75</v>
      </c>
      <c r="F122" s="37" t="str">
        <f t="shared" si="30"/>
        <v>6219K72</v>
      </c>
      <c r="G122" s="37" t="str">
        <f t="shared" si="31"/>
        <v>6219K73</v>
      </c>
      <c r="H122" s="37" t="str">
        <f t="shared" si="32"/>
        <v>6219K73</v>
      </c>
      <c r="I122" s="37" t="str">
        <f t="shared" si="33"/>
        <v>6219K87</v>
      </c>
      <c r="J122" s="56" t="str">
        <f t="shared" si="49"/>
        <v xml:space="preserve">Red </v>
      </c>
      <c r="K122" s="56" t="str">
        <f t="shared" si="50"/>
        <v>Black</v>
      </c>
      <c r="L122" s="56" t="str">
        <f t="shared" si="51"/>
        <v>Black</v>
      </c>
      <c r="M122" s="56" t="str">
        <f t="shared" si="52"/>
        <v>Yellow</v>
      </c>
      <c r="N122" s="56" t="str">
        <f t="shared" si="34"/>
        <v>42-082</v>
      </c>
      <c r="O122" s="56" t="str">
        <f t="shared" si="35"/>
        <v>42-083</v>
      </c>
      <c r="P122" s="56" t="str">
        <f t="shared" si="36"/>
        <v>42-083</v>
      </c>
      <c r="Q122" s="56" t="str">
        <f t="shared" si="37"/>
        <v>42-084</v>
      </c>
      <c r="R122" s="37">
        <v>128</v>
      </c>
      <c r="S122" s="37">
        <v>34.43</v>
      </c>
      <c r="T122" s="37">
        <v>10.1</v>
      </c>
      <c r="U122" s="37">
        <v>703.7</v>
      </c>
      <c r="V122" s="37">
        <v>24.62</v>
      </c>
      <c r="W122" s="37">
        <v>47.13</v>
      </c>
      <c r="X122" s="37">
        <f t="shared" si="27"/>
        <v>26.129775159312253</v>
      </c>
      <c r="Y122" s="37">
        <f t="shared" si="28"/>
        <v>41.431022003126131</v>
      </c>
      <c r="Z122" s="37">
        <v>47.95</v>
      </c>
      <c r="AA122" s="37">
        <v>65.94</v>
      </c>
      <c r="AB122" s="37">
        <f t="shared" si="38"/>
        <v>831.7</v>
      </c>
      <c r="AC122" s="37">
        <f t="shared" si="53"/>
        <v>0.45506204047315435</v>
      </c>
      <c r="AD122" s="37">
        <f t="shared" si="54"/>
        <v>0.54493795952684565</v>
      </c>
      <c r="AE122" s="37">
        <f t="shared" si="55"/>
        <v>0.37168604787494497</v>
      </c>
      <c r="AF122" s="37">
        <f t="shared" si="29"/>
        <v>0.62831395212505503</v>
      </c>
      <c r="AG122" s="37">
        <v>1</v>
      </c>
      <c r="AH122" s="37">
        <f t="shared" si="56"/>
        <v>140.67391378925558</v>
      </c>
      <c r="AI122" s="37">
        <f t="shared" si="57"/>
        <v>168.45737222833617</v>
      </c>
      <c r="AJ122" s="37">
        <f t="shared" si="58"/>
        <v>237.80118527226691</v>
      </c>
      <c r="AK122" s="37">
        <f t="shared" si="59"/>
        <v>284.76752871014139</v>
      </c>
      <c r="AL122" s="2"/>
    </row>
    <row r="123" spans="2:38" x14ac:dyDescent="0.2">
      <c r="B123" s="51" t="s">
        <v>30</v>
      </c>
      <c r="C123" s="51" t="s">
        <v>83</v>
      </c>
      <c r="D123" s="51">
        <v>7.5</v>
      </c>
      <c r="E123" s="51" t="s">
        <v>75</v>
      </c>
      <c r="F123" s="37" t="str">
        <f t="shared" si="30"/>
        <v>6219K72</v>
      </c>
      <c r="G123" s="37" t="str">
        <f t="shared" si="31"/>
        <v>6219K73</v>
      </c>
      <c r="H123" s="37" t="str">
        <f t="shared" si="32"/>
        <v>6219K73</v>
      </c>
      <c r="I123" s="37" t="str">
        <f t="shared" si="33"/>
        <v>6219K87</v>
      </c>
      <c r="J123" s="56" t="str">
        <f t="shared" si="49"/>
        <v xml:space="preserve">Red </v>
      </c>
      <c r="K123" s="56" t="str">
        <f t="shared" si="50"/>
        <v>Black</v>
      </c>
      <c r="L123" s="56" t="str">
        <f t="shared" si="51"/>
        <v>Black</v>
      </c>
      <c r="M123" s="56" t="str">
        <f t="shared" si="52"/>
        <v>Yellow</v>
      </c>
      <c r="N123" s="56" t="str">
        <f t="shared" si="34"/>
        <v>42-082</v>
      </c>
      <c r="O123" s="56" t="str">
        <f t="shared" si="35"/>
        <v>42-083</v>
      </c>
      <c r="P123" s="56" t="str">
        <f t="shared" si="36"/>
        <v>42-083</v>
      </c>
      <c r="Q123" s="56" t="str">
        <f t="shared" si="37"/>
        <v>42-084</v>
      </c>
      <c r="R123" s="37">
        <v>128</v>
      </c>
      <c r="S123" s="37">
        <v>34.43</v>
      </c>
      <c r="T123" s="37">
        <v>10.1</v>
      </c>
      <c r="U123" s="37">
        <v>717</v>
      </c>
      <c r="V123" s="37">
        <v>24.74</v>
      </c>
      <c r="W123" s="37">
        <v>47.05</v>
      </c>
      <c r="X123" s="37">
        <f t="shared" si="27"/>
        <v>26.207834319526626</v>
      </c>
      <c r="Y123" s="37">
        <f t="shared" si="28"/>
        <v>41.452840236686392</v>
      </c>
      <c r="Z123" s="37">
        <v>47.95</v>
      </c>
      <c r="AA123" s="37">
        <v>65.94</v>
      </c>
      <c r="AB123" s="37">
        <f t="shared" si="38"/>
        <v>845</v>
      </c>
      <c r="AC123" s="37">
        <f t="shared" si="53"/>
        <v>0.45343411221008079</v>
      </c>
      <c r="AD123" s="37">
        <f t="shared" si="54"/>
        <v>0.54656588778991921</v>
      </c>
      <c r="AE123" s="37">
        <f t="shared" si="55"/>
        <v>0.37135516777848965</v>
      </c>
      <c r="AF123" s="37">
        <f t="shared" si="29"/>
        <v>0.62864483222151035</v>
      </c>
      <c r="AG123" s="37">
        <v>1</v>
      </c>
      <c r="AH123" s="37">
        <f t="shared" si="56"/>
        <v>142.28541018974397</v>
      </c>
      <c r="AI123" s="37">
        <f t="shared" si="57"/>
        <v>171.50970658307978</v>
      </c>
      <c r="AJ123" s="37">
        <f t="shared" si="58"/>
        <v>240.8664146277743</v>
      </c>
      <c r="AK123" s="37">
        <f t="shared" si="59"/>
        <v>290.33846859940195</v>
      </c>
      <c r="AL123" s="2"/>
    </row>
    <row r="124" spans="2:38" x14ac:dyDescent="0.2">
      <c r="B124" s="51" t="s">
        <v>30</v>
      </c>
      <c r="C124" s="51" t="s">
        <v>84</v>
      </c>
      <c r="D124" s="51">
        <v>7.5</v>
      </c>
      <c r="E124" s="51" t="s">
        <v>75</v>
      </c>
      <c r="F124" s="37" t="str">
        <f t="shared" si="30"/>
        <v>6219K72</v>
      </c>
      <c r="G124" s="37" t="str">
        <f t="shared" si="31"/>
        <v>6219K73</v>
      </c>
      <c r="H124" s="37" t="str">
        <f t="shared" si="32"/>
        <v>6219K73</v>
      </c>
      <c r="I124" s="37" t="str">
        <f t="shared" si="33"/>
        <v>6219K87</v>
      </c>
      <c r="J124" s="56" t="str">
        <f t="shared" si="49"/>
        <v xml:space="preserve">Red </v>
      </c>
      <c r="K124" s="56" t="str">
        <f t="shared" si="50"/>
        <v>Black</v>
      </c>
      <c r="L124" s="56" t="str">
        <f t="shared" si="51"/>
        <v>Black</v>
      </c>
      <c r="M124" s="56" t="str">
        <f t="shared" si="52"/>
        <v>Yellow</v>
      </c>
      <c r="N124" s="56" t="str">
        <f t="shared" si="34"/>
        <v>42-082</v>
      </c>
      <c r="O124" s="56" t="str">
        <f t="shared" si="35"/>
        <v>42-083</v>
      </c>
      <c r="P124" s="56" t="str">
        <f t="shared" si="36"/>
        <v>42-083</v>
      </c>
      <c r="Q124" s="56" t="str">
        <f t="shared" si="37"/>
        <v>42-084</v>
      </c>
      <c r="R124" s="37">
        <v>128</v>
      </c>
      <c r="S124" s="37">
        <v>34.43</v>
      </c>
      <c r="T124" s="37">
        <v>10.1</v>
      </c>
      <c r="U124" s="37">
        <v>684.66</v>
      </c>
      <c r="V124" s="37">
        <v>24.51</v>
      </c>
      <c r="W124" s="37">
        <v>45.09</v>
      </c>
      <c r="X124" s="37">
        <f t="shared" si="27"/>
        <v>26.07247385130313</v>
      </c>
      <c r="Y124" s="37">
        <f t="shared" si="28"/>
        <v>39.578814510373341</v>
      </c>
      <c r="Z124" s="37">
        <v>47.95</v>
      </c>
      <c r="AA124" s="37">
        <v>65.94</v>
      </c>
      <c r="AB124" s="37">
        <f t="shared" si="38"/>
        <v>812.66</v>
      </c>
      <c r="AC124" s="37">
        <f t="shared" si="53"/>
        <v>0.45625706253799525</v>
      </c>
      <c r="AD124" s="37">
        <f t="shared" si="54"/>
        <v>0.54374293746200475</v>
      </c>
      <c r="AE124" s="37">
        <f t="shared" si="55"/>
        <v>0.39977533347932448</v>
      </c>
      <c r="AF124" s="37">
        <f t="shared" si="29"/>
        <v>0.60022466652067552</v>
      </c>
      <c r="AG124" s="37">
        <v>1</v>
      </c>
      <c r="AH124" s="37">
        <f t="shared" si="56"/>
        <v>148.22944350543708</v>
      </c>
      <c r="AI124" s="37">
        <f t="shared" si="57"/>
        <v>176.65197899987075</v>
      </c>
      <c r="AJ124" s="37">
        <f t="shared" si="58"/>
        <v>222.55242093669011</v>
      </c>
      <c r="AK124" s="37">
        <f t="shared" si="59"/>
        <v>265.22615655800206</v>
      </c>
      <c r="AL124" s="2"/>
    </row>
    <row r="125" spans="2:38" x14ac:dyDescent="0.2">
      <c r="B125" s="51" t="s">
        <v>30</v>
      </c>
      <c r="C125" s="51" t="s">
        <v>74</v>
      </c>
      <c r="D125" s="51">
        <v>10</v>
      </c>
      <c r="E125" s="51" t="s">
        <v>75</v>
      </c>
      <c r="F125" s="37" t="str">
        <f t="shared" si="30"/>
        <v>6219K73</v>
      </c>
      <c r="G125" s="37" t="str">
        <f t="shared" si="31"/>
        <v>6219K73</v>
      </c>
      <c r="H125" s="37" t="str">
        <f t="shared" si="32"/>
        <v>6219K73</v>
      </c>
      <c r="I125" s="37" t="str">
        <f t="shared" si="33"/>
        <v>6219K87</v>
      </c>
      <c r="J125" s="56" t="str">
        <f t="shared" si="49"/>
        <v>Black</v>
      </c>
      <c r="K125" s="56" t="str">
        <f t="shared" si="50"/>
        <v>Black</v>
      </c>
      <c r="L125" s="56" t="str">
        <f t="shared" si="51"/>
        <v>Black</v>
      </c>
      <c r="M125" s="56" t="str">
        <f t="shared" si="52"/>
        <v>Yellow</v>
      </c>
      <c r="N125" s="56" t="str">
        <f t="shared" si="34"/>
        <v>42-083</v>
      </c>
      <c r="O125" s="56" t="str">
        <f t="shared" si="35"/>
        <v>42-083</v>
      </c>
      <c r="P125" s="56" t="str">
        <f t="shared" si="36"/>
        <v>42-083</v>
      </c>
      <c r="Q125" s="56" t="str">
        <f t="shared" si="37"/>
        <v>42-084</v>
      </c>
      <c r="R125" s="37">
        <v>165</v>
      </c>
      <c r="S125" s="37">
        <v>34.43</v>
      </c>
      <c r="T125" s="37">
        <v>10.1</v>
      </c>
      <c r="U125" s="37">
        <v>703.7</v>
      </c>
      <c r="V125" s="37">
        <v>24.62</v>
      </c>
      <c r="W125" s="37">
        <v>47.13</v>
      </c>
      <c r="X125" s="37">
        <f t="shared" si="27"/>
        <v>26.483301484977552</v>
      </c>
      <c r="Y125" s="37">
        <f t="shared" si="28"/>
        <v>40.096559226430294</v>
      </c>
      <c r="Z125" s="37">
        <v>47.95</v>
      </c>
      <c r="AA125" s="37">
        <v>65.94</v>
      </c>
      <c r="AB125" s="37">
        <f t="shared" si="38"/>
        <v>868.7</v>
      </c>
      <c r="AC125" s="37">
        <f t="shared" si="53"/>
        <v>0.447689228676172</v>
      </c>
      <c r="AD125" s="37">
        <f t="shared" si="54"/>
        <v>0.552310771323828</v>
      </c>
      <c r="AE125" s="37">
        <f t="shared" si="55"/>
        <v>0.39192357861039895</v>
      </c>
      <c r="AF125" s="37">
        <f t="shared" si="29"/>
        <v>0.60807642138960105</v>
      </c>
      <c r="AG125" s="37">
        <v>1</v>
      </c>
      <c r="AH125" s="37">
        <f t="shared" si="56"/>
        <v>152.42207125505178</v>
      </c>
      <c r="AI125" s="37">
        <f t="shared" si="57"/>
        <v>188.04194148380182</v>
      </c>
      <c r="AJ125" s="37">
        <f t="shared" si="58"/>
        <v>236.48556169593888</v>
      </c>
      <c r="AK125" s="37">
        <f t="shared" si="59"/>
        <v>291.75042556520759</v>
      </c>
      <c r="AL125" s="2"/>
    </row>
    <row r="126" spans="2:38" x14ac:dyDescent="0.2">
      <c r="B126" s="51" t="s">
        <v>30</v>
      </c>
      <c r="C126" s="51" t="s">
        <v>83</v>
      </c>
      <c r="D126" s="51">
        <v>10</v>
      </c>
      <c r="E126" s="51" t="s">
        <v>75</v>
      </c>
      <c r="F126" s="37" t="str">
        <f t="shared" si="30"/>
        <v>6219K73</v>
      </c>
      <c r="G126" s="37" t="str">
        <f t="shared" si="31"/>
        <v>6219K73</v>
      </c>
      <c r="H126" s="37" t="str">
        <f t="shared" si="32"/>
        <v>6219K73</v>
      </c>
      <c r="I126" s="37" t="str">
        <f t="shared" si="33"/>
        <v>6219K87</v>
      </c>
      <c r="J126" s="56" t="str">
        <f t="shared" si="49"/>
        <v>Black</v>
      </c>
      <c r="K126" s="56" t="str">
        <f t="shared" si="50"/>
        <v>Black</v>
      </c>
      <c r="L126" s="56" t="str">
        <f t="shared" si="51"/>
        <v>Black</v>
      </c>
      <c r="M126" s="56" t="str">
        <f t="shared" si="52"/>
        <v>Yellow</v>
      </c>
      <c r="N126" s="56" t="str">
        <f t="shared" si="34"/>
        <v>42-083</v>
      </c>
      <c r="O126" s="56" t="str">
        <f t="shared" si="35"/>
        <v>42-083</v>
      </c>
      <c r="P126" s="56" t="str">
        <f t="shared" si="36"/>
        <v>42-083</v>
      </c>
      <c r="Q126" s="56" t="str">
        <f t="shared" si="37"/>
        <v>42-084</v>
      </c>
      <c r="R126" s="37">
        <v>165</v>
      </c>
      <c r="S126" s="37">
        <v>34.43</v>
      </c>
      <c r="T126" s="37">
        <v>10.1</v>
      </c>
      <c r="U126" s="37">
        <v>717</v>
      </c>
      <c r="V126" s="37">
        <v>24.74</v>
      </c>
      <c r="W126" s="37">
        <v>47.05</v>
      </c>
      <c r="X126" s="37">
        <f t="shared" si="27"/>
        <v>26.552755102040816</v>
      </c>
      <c r="Y126" s="37">
        <f t="shared" si="28"/>
        <v>40.137585034013604</v>
      </c>
      <c r="Z126" s="37">
        <v>47.95</v>
      </c>
      <c r="AA126" s="37">
        <v>65.94</v>
      </c>
      <c r="AB126" s="37">
        <f t="shared" si="38"/>
        <v>882</v>
      </c>
      <c r="AC126" s="37">
        <f t="shared" si="53"/>
        <v>0.446240769509055</v>
      </c>
      <c r="AD126" s="37">
        <f t="shared" si="54"/>
        <v>0.553759230490945</v>
      </c>
      <c r="AE126" s="37">
        <f t="shared" si="55"/>
        <v>0.39130140985723982</v>
      </c>
      <c r="AF126" s="37">
        <f t="shared" si="29"/>
        <v>0.60869859014276018</v>
      </c>
      <c r="AG126" s="37">
        <v>1</v>
      </c>
      <c r="AH126" s="37">
        <f t="shared" si="56"/>
        <v>154.01011445980143</v>
      </c>
      <c r="AI126" s="37">
        <f t="shared" si="57"/>
        <v>191.11772903428411</v>
      </c>
      <c r="AJ126" s="37">
        <f t="shared" si="58"/>
        <v>239.57424424718508</v>
      </c>
      <c r="AK126" s="37">
        <f t="shared" si="59"/>
        <v>297.29791225872941</v>
      </c>
      <c r="AL126" s="2"/>
    </row>
    <row r="127" spans="2:38" x14ac:dyDescent="0.2">
      <c r="B127" s="51" t="s">
        <v>30</v>
      </c>
      <c r="C127" s="51" t="s">
        <v>84</v>
      </c>
      <c r="D127" s="51">
        <v>10</v>
      </c>
      <c r="E127" s="51" t="s">
        <v>75</v>
      </c>
      <c r="F127" s="37" t="str">
        <f t="shared" si="30"/>
        <v>6219K73</v>
      </c>
      <c r="G127" s="37" t="str">
        <f t="shared" si="31"/>
        <v>6219K73</v>
      </c>
      <c r="H127" s="37" t="str">
        <f t="shared" si="32"/>
        <v>6219K73</v>
      </c>
      <c r="I127" s="37" t="str">
        <f t="shared" si="33"/>
        <v>6219K87</v>
      </c>
      <c r="J127" s="56" t="str">
        <f t="shared" si="49"/>
        <v>Black</v>
      </c>
      <c r="K127" s="56" t="str">
        <f t="shared" si="50"/>
        <v>Black</v>
      </c>
      <c r="L127" s="56" t="str">
        <f t="shared" si="51"/>
        <v>Black</v>
      </c>
      <c r="M127" s="56" t="str">
        <f t="shared" si="52"/>
        <v>Yellow</v>
      </c>
      <c r="N127" s="56" t="str">
        <f t="shared" si="34"/>
        <v>42-083</v>
      </c>
      <c r="O127" s="56" t="str">
        <f t="shared" si="35"/>
        <v>42-083</v>
      </c>
      <c r="P127" s="56" t="str">
        <f t="shared" si="36"/>
        <v>42-083</v>
      </c>
      <c r="Q127" s="56" t="str">
        <f t="shared" si="37"/>
        <v>42-084</v>
      </c>
      <c r="R127" s="37">
        <v>165</v>
      </c>
      <c r="S127" s="37">
        <v>34.43</v>
      </c>
      <c r="T127" s="37">
        <v>10.1</v>
      </c>
      <c r="U127" s="37">
        <v>684.66</v>
      </c>
      <c r="V127" s="37">
        <v>24.51</v>
      </c>
      <c r="W127" s="37">
        <v>45.09</v>
      </c>
      <c r="X127" s="37">
        <f t="shared" si="27"/>
        <v>26.436417625873879</v>
      </c>
      <c r="Y127" s="37">
        <f t="shared" si="28"/>
        <v>38.29510557164042</v>
      </c>
      <c r="Z127" s="37">
        <v>47.95</v>
      </c>
      <c r="AA127" s="37">
        <v>65.94</v>
      </c>
      <c r="AB127" s="37">
        <f t="shared" si="38"/>
        <v>849.66</v>
      </c>
      <c r="AC127" s="37">
        <f t="shared" si="53"/>
        <v>0.44866699424663448</v>
      </c>
      <c r="AD127" s="37">
        <f t="shared" si="54"/>
        <v>0.55133300575336552</v>
      </c>
      <c r="AE127" s="37">
        <f t="shared" si="55"/>
        <v>0.41924316694509522</v>
      </c>
      <c r="AF127" s="37">
        <f t="shared" si="29"/>
        <v>0.58075683305490478</v>
      </c>
      <c r="AG127" s="37">
        <v>1</v>
      </c>
      <c r="AH127" s="37">
        <f t="shared" si="56"/>
        <v>159.82153164160709</v>
      </c>
      <c r="AI127" s="37">
        <f t="shared" si="57"/>
        <v>196.39261758496249</v>
      </c>
      <c r="AJ127" s="37">
        <f t="shared" si="58"/>
        <v>221.39286668998832</v>
      </c>
      <c r="AK127" s="37">
        <f t="shared" si="59"/>
        <v>272.05298408344203</v>
      </c>
      <c r="AL127" s="2"/>
    </row>
    <row r="128" spans="2:38" x14ac:dyDescent="0.2">
      <c r="B128" s="51" t="s">
        <v>30</v>
      </c>
      <c r="C128" s="51" t="s">
        <v>74</v>
      </c>
      <c r="D128" s="51">
        <v>15</v>
      </c>
      <c r="E128" s="51" t="s">
        <v>75</v>
      </c>
      <c r="F128" s="37" t="str">
        <f t="shared" si="30"/>
        <v>6219K73</v>
      </c>
      <c r="G128" s="37" t="str">
        <f t="shared" si="31"/>
        <v>6219K73</v>
      </c>
      <c r="H128" s="37" t="str">
        <f t="shared" si="32"/>
        <v>6219K73</v>
      </c>
      <c r="I128" s="37" t="str">
        <f t="shared" si="33"/>
        <v>6219K87</v>
      </c>
      <c r="J128" s="56" t="str">
        <f t="shared" si="49"/>
        <v>Black</v>
      </c>
      <c r="K128" s="56" t="str">
        <f t="shared" si="50"/>
        <v>Black</v>
      </c>
      <c r="L128" s="56" t="str">
        <f t="shared" si="51"/>
        <v>Black</v>
      </c>
      <c r="M128" s="56" t="str">
        <f t="shared" si="52"/>
        <v>Yellow</v>
      </c>
      <c r="N128" s="56" t="str">
        <f t="shared" si="34"/>
        <v>42-083</v>
      </c>
      <c r="O128" s="56" t="str">
        <f t="shared" si="35"/>
        <v>42-083</v>
      </c>
      <c r="P128" s="56" t="str">
        <f t="shared" si="36"/>
        <v>42-083</v>
      </c>
      <c r="Q128" s="56" t="str">
        <f t="shared" si="37"/>
        <v>42-084</v>
      </c>
      <c r="R128" s="37">
        <v>270</v>
      </c>
      <c r="S128" s="37">
        <v>34.43</v>
      </c>
      <c r="T128" s="37">
        <v>10.1</v>
      </c>
      <c r="U128" s="37">
        <v>703.7</v>
      </c>
      <c r="V128" s="37">
        <v>24.62</v>
      </c>
      <c r="W128" s="37">
        <v>47.13</v>
      </c>
      <c r="X128" s="37">
        <f t="shared" si="27"/>
        <v>27.340242374447985</v>
      </c>
      <c r="Y128" s="37">
        <f t="shared" si="28"/>
        <v>36.861847591660677</v>
      </c>
      <c r="Z128" s="37">
        <v>47.95</v>
      </c>
      <c r="AA128" s="37">
        <v>65.94</v>
      </c>
      <c r="AB128" s="37">
        <f t="shared" si="38"/>
        <v>973.7</v>
      </c>
      <c r="AC128" s="37">
        <f t="shared" si="53"/>
        <v>0.42981767727949982</v>
      </c>
      <c r="AD128" s="37">
        <f t="shared" si="54"/>
        <v>0.57018232272050018</v>
      </c>
      <c r="AE128" s="37">
        <f t="shared" si="55"/>
        <v>0.44097895675370524</v>
      </c>
      <c r="AF128" s="37">
        <f t="shared" si="29"/>
        <v>0.55902104324629476</v>
      </c>
      <c r="AG128" s="37">
        <v>1</v>
      </c>
      <c r="AH128" s="37">
        <f t="shared" si="56"/>
        <v>184.55563443179193</v>
      </c>
      <c r="AI128" s="37">
        <f t="shared" si="57"/>
        <v>244.82557575929093</v>
      </c>
      <c r="AJ128" s="37">
        <f t="shared" si="58"/>
        <v>233.95783793525709</v>
      </c>
      <c r="AK128" s="37">
        <f t="shared" si="59"/>
        <v>310.36095187366016</v>
      </c>
      <c r="AL128" s="2"/>
    </row>
    <row r="129" spans="2:38" x14ac:dyDescent="0.2">
      <c r="B129" s="51" t="s">
        <v>30</v>
      </c>
      <c r="C129" s="51" t="s">
        <v>83</v>
      </c>
      <c r="D129" s="51">
        <v>15</v>
      </c>
      <c r="E129" s="51" t="s">
        <v>75</v>
      </c>
      <c r="F129" s="37" t="str">
        <f t="shared" si="30"/>
        <v>6219K73</v>
      </c>
      <c r="G129" s="37" t="str">
        <f t="shared" si="31"/>
        <v>6219K73</v>
      </c>
      <c r="H129" s="37" t="str">
        <f t="shared" si="32"/>
        <v>6219K73</v>
      </c>
      <c r="I129" s="37" t="str">
        <f t="shared" si="33"/>
        <v>6219K87</v>
      </c>
      <c r="J129" s="56" t="str">
        <f t="shared" si="49"/>
        <v>Black</v>
      </c>
      <c r="K129" s="56" t="str">
        <f t="shared" si="50"/>
        <v>Black</v>
      </c>
      <c r="L129" s="56" t="str">
        <f t="shared" si="51"/>
        <v>Black</v>
      </c>
      <c r="M129" s="56" t="str">
        <f t="shared" si="52"/>
        <v>Yellow</v>
      </c>
      <c r="N129" s="56" t="str">
        <f t="shared" si="34"/>
        <v>42-083</v>
      </c>
      <c r="O129" s="56" t="str">
        <f t="shared" si="35"/>
        <v>42-083</v>
      </c>
      <c r="P129" s="56" t="str">
        <f t="shared" si="36"/>
        <v>42-083</v>
      </c>
      <c r="Q129" s="56" t="str">
        <f t="shared" si="37"/>
        <v>42-084</v>
      </c>
      <c r="R129" s="37">
        <v>270</v>
      </c>
      <c r="S129" s="37">
        <v>34.43</v>
      </c>
      <c r="T129" s="37">
        <v>10.1</v>
      </c>
      <c r="U129" s="37">
        <v>717</v>
      </c>
      <c r="V129" s="37">
        <v>24.74</v>
      </c>
      <c r="W129" s="37">
        <v>47.05</v>
      </c>
      <c r="X129" s="37">
        <f t="shared" si="27"/>
        <v>27.390759878419452</v>
      </c>
      <c r="Y129" s="37">
        <f t="shared" si="28"/>
        <v>36.942097264437692</v>
      </c>
      <c r="Z129" s="37">
        <v>47.95</v>
      </c>
      <c r="AA129" s="37">
        <v>65.94</v>
      </c>
      <c r="AB129" s="37">
        <f t="shared" si="38"/>
        <v>987</v>
      </c>
      <c r="AC129" s="37">
        <f t="shared" si="53"/>
        <v>0.42876413183692497</v>
      </c>
      <c r="AD129" s="37">
        <f t="shared" si="54"/>
        <v>0.57123586816307503</v>
      </c>
      <c r="AE129" s="37">
        <f t="shared" si="55"/>
        <v>0.43976194624753273</v>
      </c>
      <c r="AF129" s="37">
        <f t="shared" si="29"/>
        <v>0.56023805375246727</v>
      </c>
      <c r="AG129" s="37">
        <v>1</v>
      </c>
      <c r="AH129" s="37">
        <f t="shared" si="56"/>
        <v>186.10294515946921</v>
      </c>
      <c r="AI129" s="37">
        <f t="shared" si="57"/>
        <v>247.94209578684558</v>
      </c>
      <c r="AJ129" s="37">
        <f t="shared" si="58"/>
        <v>237.08725296357571</v>
      </c>
      <c r="AK129" s="37">
        <f t="shared" si="59"/>
        <v>315.86770609010944</v>
      </c>
      <c r="AL129" s="2"/>
    </row>
    <row r="130" spans="2:38" x14ac:dyDescent="0.2">
      <c r="B130" s="51" t="s">
        <v>30</v>
      </c>
      <c r="C130" s="51" t="s">
        <v>84</v>
      </c>
      <c r="D130" s="51">
        <v>15</v>
      </c>
      <c r="E130" s="51" t="s">
        <v>75</v>
      </c>
      <c r="F130" s="37" t="str">
        <f t="shared" si="30"/>
        <v>6219K73</v>
      </c>
      <c r="G130" s="37" t="str">
        <f t="shared" si="31"/>
        <v>6219K87</v>
      </c>
      <c r="H130" s="37" t="str">
        <f t="shared" si="32"/>
        <v>6219K73</v>
      </c>
      <c r="I130" s="37" t="str">
        <f t="shared" si="33"/>
        <v>6219K87</v>
      </c>
      <c r="J130" s="56" t="str">
        <f t="shared" si="49"/>
        <v>Black</v>
      </c>
      <c r="K130" s="56" t="str">
        <f t="shared" si="50"/>
        <v>Yellow</v>
      </c>
      <c r="L130" s="56" t="str">
        <f t="shared" si="51"/>
        <v>Black</v>
      </c>
      <c r="M130" s="56" t="str">
        <f t="shared" si="52"/>
        <v>Yellow</v>
      </c>
      <c r="N130" s="56" t="str">
        <f t="shared" si="34"/>
        <v>42-083</v>
      </c>
      <c r="O130" s="56" t="str">
        <f t="shared" si="35"/>
        <v>42-084</v>
      </c>
      <c r="P130" s="56" t="str">
        <f t="shared" si="36"/>
        <v>42-083</v>
      </c>
      <c r="Q130" s="56" t="str">
        <f t="shared" si="37"/>
        <v>42-084</v>
      </c>
      <c r="R130" s="37">
        <v>270</v>
      </c>
      <c r="S130" s="37">
        <v>34.43</v>
      </c>
      <c r="T130" s="37">
        <v>10.1</v>
      </c>
      <c r="U130" s="37">
        <v>684.66</v>
      </c>
      <c r="V130" s="37">
        <v>24.51</v>
      </c>
      <c r="W130" s="37">
        <v>45.09</v>
      </c>
      <c r="X130" s="37">
        <f t="shared" si="27"/>
        <v>27.315606184400732</v>
      </c>
      <c r="Y130" s="37">
        <f t="shared" si="28"/>
        <v>35.194016089497836</v>
      </c>
      <c r="Z130" s="37">
        <v>47.95</v>
      </c>
      <c r="AA130" s="37">
        <v>65.94</v>
      </c>
      <c r="AB130" s="37">
        <f t="shared" si="38"/>
        <v>954.66</v>
      </c>
      <c r="AC130" s="37">
        <f t="shared" si="53"/>
        <v>0.43033146643585551</v>
      </c>
      <c r="AD130" s="37">
        <f t="shared" si="54"/>
        <v>0.56966853356414449</v>
      </c>
      <c r="AE130" s="37">
        <f t="shared" si="55"/>
        <v>0.46627212481804914</v>
      </c>
      <c r="AF130" s="37">
        <f t="shared" si="29"/>
        <v>0.53372787518195086</v>
      </c>
      <c r="AG130" s="37">
        <v>1</v>
      </c>
      <c r="AH130" s="37">
        <f t="shared" si="56"/>
        <v>191.55402517285467</v>
      </c>
      <c r="AI130" s="37">
        <f t="shared" si="57"/>
        <v>253.57732150594413</v>
      </c>
      <c r="AJ130" s="37">
        <f t="shared" si="58"/>
        <v>219.26621257479917</v>
      </c>
      <c r="AK130" s="37">
        <f t="shared" si="59"/>
        <v>290.26244074640204</v>
      </c>
      <c r="AL130" s="2"/>
    </row>
    <row r="131" spans="2:38" x14ac:dyDescent="0.2">
      <c r="B131" s="51" t="s">
        <v>30</v>
      </c>
      <c r="C131" s="51" t="s">
        <v>74</v>
      </c>
      <c r="D131" s="51">
        <v>20</v>
      </c>
      <c r="E131" s="51" t="s">
        <v>75</v>
      </c>
      <c r="F131" s="37" t="str">
        <f t="shared" si="30"/>
        <v>6219K73</v>
      </c>
      <c r="G131" s="37" t="str">
        <f t="shared" si="31"/>
        <v>6219K87</v>
      </c>
      <c r="H131" s="37" t="str">
        <f t="shared" si="32"/>
        <v>6219K73</v>
      </c>
      <c r="I131" s="37" t="str">
        <f t="shared" si="33"/>
        <v>6219K87</v>
      </c>
      <c r="J131" s="56" t="str">
        <f t="shared" si="49"/>
        <v>Black</v>
      </c>
      <c r="K131" s="56" t="str">
        <f t="shared" si="50"/>
        <v>Yellow</v>
      </c>
      <c r="L131" s="56" t="str">
        <f t="shared" si="51"/>
        <v>Black</v>
      </c>
      <c r="M131" s="56" t="str">
        <f t="shared" si="52"/>
        <v>Yellow</v>
      </c>
      <c r="N131" s="56" t="str">
        <f t="shared" si="34"/>
        <v>42-083</v>
      </c>
      <c r="O131" s="56" t="str">
        <f t="shared" si="35"/>
        <v>42-084</v>
      </c>
      <c r="P131" s="56" t="str">
        <f t="shared" si="36"/>
        <v>42-083</v>
      </c>
      <c r="Q131" s="56" t="str">
        <f t="shared" si="37"/>
        <v>42-084</v>
      </c>
      <c r="R131" s="37">
        <v>289</v>
      </c>
      <c r="S131" s="37">
        <v>34.43</v>
      </c>
      <c r="T131" s="37">
        <v>10.1</v>
      </c>
      <c r="U131" s="37">
        <v>703.7</v>
      </c>
      <c r="V131" s="37">
        <v>24.62</v>
      </c>
      <c r="W131" s="37">
        <v>47.13</v>
      </c>
      <c r="X131" s="37">
        <f t="shared" si="27"/>
        <v>27.475938349954671</v>
      </c>
      <c r="Y131" s="37">
        <f t="shared" si="28"/>
        <v>36.349633323259795</v>
      </c>
      <c r="Z131" s="37">
        <v>47.95</v>
      </c>
      <c r="AA131" s="37">
        <v>65.94</v>
      </c>
      <c r="AB131" s="37">
        <f t="shared" si="38"/>
        <v>992.7</v>
      </c>
      <c r="AC131" s="37">
        <f t="shared" si="53"/>
        <v>0.42698772992795264</v>
      </c>
      <c r="AD131" s="37">
        <f t="shared" si="54"/>
        <v>0.57301227007204736</v>
      </c>
      <c r="AE131" s="37">
        <f t="shared" si="55"/>
        <v>0.44874684071489546</v>
      </c>
      <c r="AF131" s="37">
        <f t="shared" si="29"/>
        <v>0.55125315928510454</v>
      </c>
      <c r="AG131" s="37">
        <v>1</v>
      </c>
      <c r="AH131" s="37">
        <f t="shared" si="56"/>
        <v>190.21064624694066</v>
      </c>
      <c r="AI131" s="37">
        <f t="shared" si="57"/>
        <v>255.2603425307361</v>
      </c>
      <c r="AJ131" s="37">
        <f t="shared" si="58"/>
        <v>233.66007325253793</v>
      </c>
      <c r="AK131" s="37">
        <f t="shared" si="59"/>
        <v>313.5689379697854</v>
      </c>
      <c r="AL131" s="2"/>
    </row>
    <row r="132" spans="2:38" x14ac:dyDescent="0.2">
      <c r="B132" s="51" t="s">
        <v>30</v>
      </c>
      <c r="C132" s="51" t="s">
        <v>83</v>
      </c>
      <c r="D132" s="51">
        <v>20</v>
      </c>
      <c r="E132" s="51" t="s">
        <v>75</v>
      </c>
      <c r="F132" s="37" t="str">
        <f t="shared" si="30"/>
        <v>6219K73</v>
      </c>
      <c r="G132" s="37" t="str">
        <f t="shared" si="31"/>
        <v>6219K87</v>
      </c>
      <c r="H132" s="37" t="str">
        <f t="shared" si="32"/>
        <v>6219K73</v>
      </c>
      <c r="I132" s="37" t="str">
        <f t="shared" si="33"/>
        <v>6219K87</v>
      </c>
      <c r="J132" s="56" t="str">
        <f t="shared" si="49"/>
        <v>Black</v>
      </c>
      <c r="K132" s="56" t="str">
        <f t="shared" si="50"/>
        <v>Yellow</v>
      </c>
      <c r="L132" s="56" t="str">
        <f t="shared" si="51"/>
        <v>Black</v>
      </c>
      <c r="M132" s="56" t="str">
        <f t="shared" si="52"/>
        <v>Yellow</v>
      </c>
      <c r="N132" s="56" t="str">
        <f t="shared" si="34"/>
        <v>42-083</v>
      </c>
      <c r="O132" s="56" t="str">
        <f t="shared" si="35"/>
        <v>42-084</v>
      </c>
      <c r="P132" s="56" t="str">
        <f t="shared" si="36"/>
        <v>42-083</v>
      </c>
      <c r="Q132" s="56" t="str">
        <f t="shared" si="37"/>
        <v>42-084</v>
      </c>
      <c r="R132" s="37">
        <v>289</v>
      </c>
      <c r="S132" s="37">
        <v>34.43</v>
      </c>
      <c r="T132" s="37">
        <v>10.1</v>
      </c>
      <c r="U132" s="37">
        <v>717</v>
      </c>
      <c r="V132" s="37">
        <v>24.74</v>
      </c>
      <c r="W132" s="37">
        <v>47.05</v>
      </c>
      <c r="X132" s="37">
        <f t="shared" si="27"/>
        <v>27.523707753479123</v>
      </c>
      <c r="Y132" s="37">
        <f t="shared" si="28"/>
        <v>36.435139165009943</v>
      </c>
      <c r="Z132" s="37">
        <v>47.95</v>
      </c>
      <c r="AA132" s="37">
        <v>65.94</v>
      </c>
      <c r="AB132" s="37">
        <f t="shared" si="38"/>
        <v>1006</v>
      </c>
      <c r="AC132" s="37">
        <f t="shared" si="53"/>
        <v>0.42599149627780775</v>
      </c>
      <c r="AD132" s="37">
        <f t="shared" si="54"/>
        <v>0.57400850372219225</v>
      </c>
      <c r="AE132" s="37">
        <f t="shared" si="55"/>
        <v>0.44745011881998875</v>
      </c>
      <c r="AF132" s="37">
        <f t="shared" si="29"/>
        <v>0.55254988118001125</v>
      </c>
      <c r="AG132" s="37">
        <v>1</v>
      </c>
      <c r="AH132" s="37">
        <f t="shared" si="56"/>
        <v>191.75360529956473</v>
      </c>
      <c r="AI132" s="37">
        <f t="shared" si="57"/>
        <v>258.38121423334394</v>
      </c>
      <c r="AJ132" s="37">
        <f t="shared" si="58"/>
        <v>236.79383995590987</v>
      </c>
      <c r="AK132" s="37">
        <f t="shared" si="59"/>
        <v>319.07134051118146</v>
      </c>
      <c r="AL132" s="2"/>
    </row>
    <row r="133" spans="2:38" x14ac:dyDescent="0.2">
      <c r="B133" s="51" t="s">
        <v>30</v>
      </c>
      <c r="C133" s="51" t="s">
        <v>84</v>
      </c>
      <c r="D133" s="51">
        <v>20</v>
      </c>
      <c r="E133" s="51" t="s">
        <v>75</v>
      </c>
      <c r="F133" s="37" t="str">
        <f t="shared" si="30"/>
        <v>6219K73</v>
      </c>
      <c r="G133" s="37" t="str">
        <f t="shared" si="31"/>
        <v>6219K87</v>
      </c>
      <c r="H133" s="37" t="str">
        <f t="shared" si="32"/>
        <v>6219K73</v>
      </c>
      <c r="I133" s="37" t="str">
        <f t="shared" si="33"/>
        <v>6219K87</v>
      </c>
      <c r="J133" s="56" t="str">
        <f t="shared" si="49"/>
        <v>Black</v>
      </c>
      <c r="K133" s="56" t="str">
        <f t="shared" si="50"/>
        <v>Yellow</v>
      </c>
      <c r="L133" s="56" t="str">
        <f t="shared" si="51"/>
        <v>Black</v>
      </c>
      <c r="M133" s="56" t="str">
        <f t="shared" si="52"/>
        <v>Yellow</v>
      </c>
      <c r="N133" s="56" t="str">
        <f t="shared" si="34"/>
        <v>42-083</v>
      </c>
      <c r="O133" s="56" t="str">
        <f t="shared" si="35"/>
        <v>42-084</v>
      </c>
      <c r="P133" s="56" t="str">
        <f t="shared" si="36"/>
        <v>42-083</v>
      </c>
      <c r="Q133" s="56" t="str">
        <f t="shared" si="37"/>
        <v>42-084</v>
      </c>
      <c r="R133" s="37">
        <v>289</v>
      </c>
      <c r="S133" s="37">
        <v>34.43</v>
      </c>
      <c r="T133" s="37">
        <v>10.1</v>
      </c>
      <c r="U133" s="37">
        <v>684.66</v>
      </c>
      <c r="V133" s="37">
        <v>24.51</v>
      </c>
      <c r="W133" s="37">
        <v>45.09</v>
      </c>
      <c r="X133" s="37">
        <f t="shared" ref="X133:X172" si="60">(R133*S133+U133*V133)/(R133+U133)</f>
        <v>27.454436456257831</v>
      </c>
      <c r="Y133" s="37">
        <f t="shared" ref="Y133:Y172" si="61">(R133*T133+U133*W133)/(R133+U133)</f>
        <v>34.704331491485739</v>
      </c>
      <c r="Z133" s="37">
        <v>47.95</v>
      </c>
      <c r="AA133" s="37">
        <v>65.94</v>
      </c>
      <c r="AB133" s="37">
        <f t="shared" si="38"/>
        <v>973.66</v>
      </c>
      <c r="AC133" s="37">
        <f t="shared" si="53"/>
        <v>0.42743615315416417</v>
      </c>
      <c r="AD133" s="37">
        <f t="shared" si="54"/>
        <v>0.57256384684583583</v>
      </c>
      <c r="AE133" s="37">
        <f t="shared" si="55"/>
        <v>0.47369833952857532</v>
      </c>
      <c r="AF133" s="37">
        <f t="shared" ref="AF133:AF172" si="62">(Y133/AA133)</f>
        <v>0.52630166047142468</v>
      </c>
      <c r="AG133" s="37">
        <v>1</v>
      </c>
      <c r="AH133" s="37">
        <f t="shared" si="56"/>
        <v>197.1425835368743</v>
      </c>
      <c r="AI133" s="37">
        <f t="shared" si="57"/>
        <v>264.0785417285183</v>
      </c>
      <c r="AJ133" s="37">
        <f t="shared" si="58"/>
        <v>219.03490134320916</v>
      </c>
      <c r="AK133" s="37">
        <f t="shared" si="59"/>
        <v>293.40397339139815</v>
      </c>
      <c r="AL133" s="2"/>
    </row>
    <row r="134" spans="2:38" x14ac:dyDescent="0.2">
      <c r="B134" s="51" t="s">
        <v>30</v>
      </c>
      <c r="C134" s="51" t="s">
        <v>74</v>
      </c>
      <c r="D134" s="51">
        <v>25</v>
      </c>
      <c r="E134" s="51" t="s">
        <v>75</v>
      </c>
      <c r="F134" s="37" t="str">
        <f t="shared" ref="F134:F172" si="63">VLOOKUP(AH134,$AM$5:$AQ$12,4,TRUE)</f>
        <v>6219K73</v>
      </c>
      <c r="G134" s="37" t="str">
        <f t="shared" ref="G134:G172" si="64">VLOOKUP(AI134,$AM$5:$AQ$12,4,TRUE)</f>
        <v>6219K87</v>
      </c>
      <c r="H134" s="37" t="str">
        <f t="shared" ref="H134:H172" si="65">VLOOKUP(AJ134,$AM$5:$AQ$12,4,TRUE)</f>
        <v>6219K73</v>
      </c>
      <c r="I134" s="37" t="str">
        <f t="shared" ref="I134:I172" si="66">VLOOKUP(AK134,$AM$5:$AQ$12,4,TRUE)</f>
        <v>6219K87</v>
      </c>
      <c r="J134" s="56" t="str">
        <f t="shared" ref="J134:J151" si="67">VLOOKUP(AH134,$AM$5:$AQ$12,3,TRUE)</f>
        <v>Black</v>
      </c>
      <c r="K134" s="56" t="str">
        <f t="shared" si="50"/>
        <v>Yellow</v>
      </c>
      <c r="L134" s="56" t="str">
        <f t="shared" si="51"/>
        <v>Black</v>
      </c>
      <c r="M134" s="56" t="str">
        <f t="shared" si="52"/>
        <v>Yellow</v>
      </c>
      <c r="N134" s="56" t="str">
        <f t="shared" ref="N134:N172" si="68">VLOOKUP(AH134,$AM$5:$AQ$12,5,TRUE)</f>
        <v>42-083</v>
      </c>
      <c r="O134" s="56" t="str">
        <f t="shared" ref="O134:O172" si="69">VLOOKUP(AI134,$AM$5:$AQ$12,5,TRUE)</f>
        <v>42-084</v>
      </c>
      <c r="P134" s="56" t="str">
        <f t="shared" ref="P134:P172" si="70">VLOOKUP(AJ134,$AM$5:$AQ$12,5,TRUE)</f>
        <v>42-083</v>
      </c>
      <c r="Q134" s="56" t="str">
        <f t="shared" ref="Q134:Q172" si="71">VLOOKUP(AK134,$AM$5:$AQ$12,5,TRUE)</f>
        <v>42-084</v>
      </c>
      <c r="R134" s="37">
        <v>388</v>
      </c>
      <c r="S134" s="37">
        <v>34.43</v>
      </c>
      <c r="T134" s="37">
        <v>10.1</v>
      </c>
      <c r="U134" s="37">
        <v>703.7</v>
      </c>
      <c r="V134" s="37">
        <v>24.62</v>
      </c>
      <c r="W134" s="37">
        <v>47.13</v>
      </c>
      <c r="X134" s="37">
        <f t="shared" si="60"/>
        <v>28.106562242374277</v>
      </c>
      <c r="Y134" s="37">
        <f t="shared" si="61"/>
        <v>33.969204909773751</v>
      </c>
      <c r="Z134" s="37">
        <v>47.95</v>
      </c>
      <c r="AA134" s="37">
        <v>65.94</v>
      </c>
      <c r="AB134" s="37">
        <f t="shared" ref="AB134:AB151" si="72">R134+U134</f>
        <v>1091.7</v>
      </c>
      <c r="AC134" s="37">
        <f t="shared" si="53"/>
        <v>0.41383603248437384</v>
      </c>
      <c r="AD134" s="37">
        <f t="shared" si="54"/>
        <v>0.58616396751562616</v>
      </c>
      <c r="AE134" s="37">
        <f t="shared" si="55"/>
        <v>0.48484675599372529</v>
      </c>
      <c r="AF134" s="37">
        <f t="shared" si="62"/>
        <v>0.51515324400627471</v>
      </c>
      <c r="AG134" s="37">
        <v>1</v>
      </c>
      <c r="AH134" s="37">
        <f t="shared" si="56"/>
        <v>219.04639306943292</v>
      </c>
      <c r="AI134" s="37">
        <f t="shared" si="57"/>
        <v>310.26081044891697</v>
      </c>
      <c r="AJ134" s="37">
        <f t="shared" si="58"/>
        <v>232.73840359375802</v>
      </c>
      <c r="AK134" s="37">
        <f t="shared" si="59"/>
        <v>329.65439288789213</v>
      </c>
      <c r="AL134" s="2"/>
    </row>
    <row r="135" spans="2:38" x14ac:dyDescent="0.2">
      <c r="B135" s="51" t="s">
        <v>30</v>
      </c>
      <c r="C135" s="51" t="s">
        <v>83</v>
      </c>
      <c r="D135" s="51">
        <v>25</v>
      </c>
      <c r="E135" s="51" t="s">
        <v>75</v>
      </c>
      <c r="F135" s="37" t="str">
        <f t="shared" si="63"/>
        <v>6219K73</v>
      </c>
      <c r="G135" s="37" t="str">
        <f t="shared" si="64"/>
        <v>6219K87</v>
      </c>
      <c r="H135" s="37" t="str">
        <f t="shared" si="65"/>
        <v>6219K73</v>
      </c>
      <c r="I135" s="37" t="str">
        <f t="shared" si="66"/>
        <v>6219K87</v>
      </c>
      <c r="J135" s="56" t="str">
        <f t="shared" si="67"/>
        <v>Black</v>
      </c>
      <c r="K135" s="56" t="str">
        <f t="shared" si="50"/>
        <v>Yellow</v>
      </c>
      <c r="L135" s="56" t="str">
        <f t="shared" si="51"/>
        <v>Black</v>
      </c>
      <c r="M135" s="56" t="str">
        <f t="shared" si="52"/>
        <v>Yellow</v>
      </c>
      <c r="N135" s="56" t="str">
        <f t="shared" si="68"/>
        <v>42-083</v>
      </c>
      <c r="O135" s="56" t="str">
        <f t="shared" si="69"/>
        <v>42-084</v>
      </c>
      <c r="P135" s="56" t="str">
        <f t="shared" si="70"/>
        <v>42-083</v>
      </c>
      <c r="Q135" s="56" t="str">
        <f t="shared" si="71"/>
        <v>42-084</v>
      </c>
      <c r="R135" s="37">
        <v>388</v>
      </c>
      <c r="S135" s="37">
        <v>34.43</v>
      </c>
      <c r="T135" s="37">
        <v>10.1</v>
      </c>
      <c r="U135" s="37">
        <v>717</v>
      </c>
      <c r="V135" s="37">
        <v>24.74</v>
      </c>
      <c r="W135" s="37">
        <v>47.05</v>
      </c>
      <c r="X135" s="37">
        <f t="shared" si="60"/>
        <v>28.142461538461536</v>
      </c>
      <c r="Y135" s="37">
        <f t="shared" si="61"/>
        <v>34.075701357466066</v>
      </c>
      <c r="Z135" s="37">
        <v>47.95</v>
      </c>
      <c r="AA135" s="37">
        <v>65.94</v>
      </c>
      <c r="AB135" s="37">
        <f t="shared" si="72"/>
        <v>1105</v>
      </c>
      <c r="AC135" s="37">
        <f t="shared" si="53"/>
        <v>0.41308735060559887</v>
      </c>
      <c r="AD135" s="37">
        <f t="shared" si="54"/>
        <v>0.58691264939440113</v>
      </c>
      <c r="AE135" s="37">
        <f t="shared" si="55"/>
        <v>0.48323170522496106</v>
      </c>
      <c r="AF135" s="37">
        <f t="shared" si="62"/>
        <v>0.51676829477503894</v>
      </c>
      <c r="AG135" s="37">
        <v>1</v>
      </c>
      <c r="AH135" s="37">
        <f t="shared" si="56"/>
        <v>220.5766798482054</v>
      </c>
      <c r="AI135" s="37">
        <f t="shared" si="57"/>
        <v>313.39435442537655</v>
      </c>
      <c r="AJ135" s="37">
        <f t="shared" si="58"/>
        <v>235.88484257098133</v>
      </c>
      <c r="AK135" s="37">
        <f t="shared" si="59"/>
        <v>335.14412315543672</v>
      </c>
      <c r="AL135" s="2"/>
    </row>
    <row r="136" spans="2:38" x14ac:dyDescent="0.2">
      <c r="B136" s="51" t="s">
        <v>30</v>
      </c>
      <c r="C136" s="51" t="s">
        <v>84</v>
      </c>
      <c r="D136" s="51">
        <v>25</v>
      </c>
      <c r="E136" s="51" t="s">
        <v>75</v>
      </c>
      <c r="F136" s="37" t="str">
        <f t="shared" si="63"/>
        <v>6219K73</v>
      </c>
      <c r="G136" s="37" t="str">
        <f t="shared" si="64"/>
        <v>6219K87</v>
      </c>
      <c r="H136" s="37" t="str">
        <f t="shared" si="65"/>
        <v>6219K73</v>
      </c>
      <c r="I136" s="37" t="str">
        <f t="shared" si="66"/>
        <v>6219K87</v>
      </c>
      <c r="J136" s="56" t="str">
        <f t="shared" si="67"/>
        <v>Black</v>
      </c>
      <c r="K136" s="56" t="str">
        <f t="shared" si="50"/>
        <v>Yellow</v>
      </c>
      <c r="L136" s="56" t="str">
        <f t="shared" si="51"/>
        <v>Black</v>
      </c>
      <c r="M136" s="56" t="str">
        <f t="shared" si="52"/>
        <v>Yellow</v>
      </c>
      <c r="N136" s="56" t="str">
        <f t="shared" si="68"/>
        <v>42-083</v>
      </c>
      <c r="O136" s="56" t="str">
        <f t="shared" si="69"/>
        <v>42-084</v>
      </c>
      <c r="P136" s="56" t="str">
        <f t="shared" si="70"/>
        <v>42-083</v>
      </c>
      <c r="Q136" s="56" t="str">
        <f t="shared" si="71"/>
        <v>42-084</v>
      </c>
      <c r="R136" s="37">
        <v>388</v>
      </c>
      <c r="S136" s="37">
        <v>34.43</v>
      </c>
      <c r="T136" s="37">
        <v>10.1</v>
      </c>
      <c r="U136" s="37">
        <v>684.66</v>
      </c>
      <c r="V136" s="37">
        <v>24.51</v>
      </c>
      <c r="W136" s="37">
        <v>45.09</v>
      </c>
      <c r="X136" s="37">
        <f t="shared" si="60"/>
        <v>28.098238584453604</v>
      </c>
      <c r="Y136" s="37">
        <f t="shared" si="61"/>
        <v>32.433501202617798</v>
      </c>
      <c r="Z136" s="37">
        <v>47.95</v>
      </c>
      <c r="AA136" s="37">
        <v>65.94</v>
      </c>
      <c r="AB136" s="37">
        <f t="shared" si="72"/>
        <v>1072.6599999999999</v>
      </c>
      <c r="AC136" s="37">
        <f t="shared" si="53"/>
        <v>0.41400962284768295</v>
      </c>
      <c r="AD136" s="37">
        <f t="shared" si="54"/>
        <v>0.58599037715231705</v>
      </c>
      <c r="AE136" s="37">
        <f t="shared" si="55"/>
        <v>0.50813616617200785</v>
      </c>
      <c r="AF136" s="37">
        <f t="shared" si="62"/>
        <v>0.49186383382799209</v>
      </c>
      <c r="AG136" s="37">
        <v>1</v>
      </c>
      <c r="AH136" s="37">
        <f t="shared" si="56"/>
        <v>225.65898376627263</v>
      </c>
      <c r="AI136" s="37">
        <f t="shared" si="57"/>
        <v>319.39835623979326</v>
      </c>
      <c r="AJ136" s="37">
        <f t="shared" si="58"/>
        <v>218.43257827752288</v>
      </c>
      <c r="AK136" s="37">
        <f t="shared" si="59"/>
        <v>309.17008171641106</v>
      </c>
      <c r="AL136" s="2"/>
    </row>
    <row r="137" spans="2:38" x14ac:dyDescent="0.2">
      <c r="B137" s="51" t="s">
        <v>31</v>
      </c>
      <c r="C137" s="51" t="s">
        <v>74</v>
      </c>
      <c r="D137" s="51">
        <v>15</v>
      </c>
      <c r="E137" s="51" t="s">
        <v>75</v>
      </c>
      <c r="F137" s="37" t="str">
        <f t="shared" si="63"/>
        <v>6219K73</v>
      </c>
      <c r="G137" s="37" t="str">
        <f t="shared" si="64"/>
        <v>6219K87</v>
      </c>
      <c r="H137" s="37" t="str">
        <f t="shared" si="65"/>
        <v>6219K87</v>
      </c>
      <c r="I137" s="37" t="str">
        <f t="shared" si="66"/>
        <v>6219K87</v>
      </c>
      <c r="J137" s="56" t="str">
        <f t="shared" si="67"/>
        <v>Black</v>
      </c>
      <c r="K137" s="56" t="str">
        <f t="shared" si="50"/>
        <v>Yellow</v>
      </c>
      <c r="L137" s="56" t="str">
        <f t="shared" si="51"/>
        <v>Yellow</v>
      </c>
      <c r="M137" s="56" t="str">
        <f t="shared" si="52"/>
        <v>Yellow</v>
      </c>
      <c r="N137" s="56" t="str">
        <f t="shared" si="68"/>
        <v>42-083</v>
      </c>
      <c r="O137" s="56" t="str">
        <f t="shared" si="69"/>
        <v>42-084</v>
      </c>
      <c r="P137" s="56" t="str">
        <f t="shared" si="70"/>
        <v>42-084</v>
      </c>
      <c r="Q137" s="56" t="str">
        <f t="shared" si="71"/>
        <v>42-084</v>
      </c>
      <c r="R137" s="37">
        <v>270</v>
      </c>
      <c r="S137" s="37">
        <v>40.68</v>
      </c>
      <c r="T137" s="37">
        <v>15.33</v>
      </c>
      <c r="U137" s="37">
        <v>807.95</v>
      </c>
      <c r="V137" s="37">
        <v>28.187999999999999</v>
      </c>
      <c r="W137" s="37">
        <v>49.87</v>
      </c>
      <c r="X137" s="37">
        <f t="shared" si="60"/>
        <v>31.316939190129414</v>
      </c>
      <c r="Y137" s="37">
        <f t="shared" si="61"/>
        <v>41.218578319959178</v>
      </c>
      <c r="Z137" s="37">
        <v>54.04</v>
      </c>
      <c r="AA137" s="37">
        <v>72.180000000000007</v>
      </c>
      <c r="AB137" s="37">
        <f t="shared" si="72"/>
        <v>1077.95</v>
      </c>
      <c r="AC137" s="37">
        <f t="shared" si="53"/>
        <v>0.42048595132995159</v>
      </c>
      <c r="AD137" s="37">
        <f t="shared" si="54"/>
        <v>0.57951404867004841</v>
      </c>
      <c r="AE137" s="37">
        <f t="shared" si="55"/>
        <v>0.42894737711333919</v>
      </c>
      <c r="AF137" s="37">
        <f t="shared" si="62"/>
        <v>0.57105262288666081</v>
      </c>
      <c r="AG137" s="37">
        <v>1</v>
      </c>
      <c r="AH137" s="37">
        <f t="shared" si="56"/>
        <v>194.42590260170036</v>
      </c>
      <c r="AI137" s="37">
        <f t="shared" si="57"/>
        <v>267.95792255762365</v>
      </c>
      <c r="AJ137" s="37">
        <f t="shared" si="58"/>
        <v>258.83692863442099</v>
      </c>
      <c r="AK137" s="37">
        <f t="shared" si="59"/>
        <v>356.72924620625508</v>
      </c>
      <c r="AL137" s="2"/>
    </row>
    <row r="138" spans="2:38" x14ac:dyDescent="0.2">
      <c r="B138" s="51" t="s">
        <v>31</v>
      </c>
      <c r="C138" s="51" t="s">
        <v>83</v>
      </c>
      <c r="D138" s="51">
        <v>15</v>
      </c>
      <c r="E138" s="51" t="s">
        <v>75</v>
      </c>
      <c r="F138" s="37" t="str">
        <f t="shared" si="63"/>
        <v>6219K73</v>
      </c>
      <c r="G138" s="37" t="str">
        <f t="shared" si="64"/>
        <v>6219K87</v>
      </c>
      <c r="H138" s="37" t="str">
        <f t="shared" si="65"/>
        <v>6219K73</v>
      </c>
      <c r="I138" s="37" t="str">
        <f t="shared" si="66"/>
        <v>6219K87</v>
      </c>
      <c r="J138" s="56" t="str">
        <f t="shared" si="67"/>
        <v>Black</v>
      </c>
      <c r="K138" s="56" t="str">
        <f t="shared" si="50"/>
        <v>Yellow</v>
      </c>
      <c r="L138" s="56" t="str">
        <f t="shared" si="51"/>
        <v>Black</v>
      </c>
      <c r="M138" s="56" t="str">
        <f t="shared" si="52"/>
        <v>Yellow</v>
      </c>
      <c r="N138" s="56" t="str">
        <f t="shared" si="68"/>
        <v>42-083</v>
      </c>
      <c r="O138" s="56" t="str">
        <f t="shared" si="69"/>
        <v>42-084</v>
      </c>
      <c r="P138" s="56" t="str">
        <f t="shared" si="70"/>
        <v>42-083</v>
      </c>
      <c r="Q138" s="56" t="str">
        <f t="shared" si="71"/>
        <v>42-084</v>
      </c>
      <c r="R138" s="37">
        <v>270</v>
      </c>
      <c r="S138" s="37">
        <v>40.68</v>
      </c>
      <c r="T138" s="37">
        <v>15.33</v>
      </c>
      <c r="U138" s="37">
        <v>766.1</v>
      </c>
      <c r="V138" s="37">
        <v>28.09</v>
      </c>
      <c r="W138" s="37">
        <v>49.27</v>
      </c>
      <c r="X138" s="37">
        <f t="shared" si="60"/>
        <v>31.370860920760549</v>
      </c>
      <c r="Y138" s="37">
        <f t="shared" si="61"/>
        <v>40.425486922111773</v>
      </c>
      <c r="Z138" s="37">
        <v>54.04</v>
      </c>
      <c r="AA138" s="37">
        <v>72.180000000000007</v>
      </c>
      <c r="AB138" s="37">
        <f t="shared" si="72"/>
        <v>1036.0999999999999</v>
      </c>
      <c r="AC138" s="37">
        <f t="shared" si="53"/>
        <v>0.41948813988229927</v>
      </c>
      <c r="AD138" s="37">
        <f t="shared" si="54"/>
        <v>0.58051186011770073</v>
      </c>
      <c r="AE138" s="37">
        <f t="shared" si="55"/>
        <v>0.43993506619407363</v>
      </c>
      <c r="AF138" s="37">
        <f t="shared" si="62"/>
        <v>0.56006493380592637</v>
      </c>
      <c r="AG138" s="37">
        <v>1</v>
      </c>
      <c r="AH138" s="37">
        <f t="shared" si="56"/>
        <v>191.20970887412975</v>
      </c>
      <c r="AI138" s="37">
        <f t="shared" si="57"/>
        <v>264.6070132095499</v>
      </c>
      <c r="AJ138" s="37">
        <f t="shared" si="58"/>
        <v>243.4219528579205</v>
      </c>
      <c r="AK138" s="37">
        <f t="shared" si="59"/>
        <v>336.86132505839976</v>
      </c>
      <c r="AL138" s="2"/>
    </row>
    <row r="139" spans="2:38" x14ac:dyDescent="0.2">
      <c r="B139" s="51" t="s">
        <v>31</v>
      </c>
      <c r="C139" s="51" t="s">
        <v>84</v>
      </c>
      <c r="D139" s="51">
        <v>15</v>
      </c>
      <c r="E139" s="51" t="s">
        <v>75</v>
      </c>
      <c r="F139" s="37" t="str">
        <f t="shared" si="63"/>
        <v>6219K73</v>
      </c>
      <c r="G139" s="37" t="str">
        <f t="shared" si="64"/>
        <v>6219K87</v>
      </c>
      <c r="H139" s="37" t="str">
        <f t="shared" si="65"/>
        <v>6219K73</v>
      </c>
      <c r="I139" s="37" t="str">
        <f t="shared" si="66"/>
        <v>6219K87</v>
      </c>
      <c r="J139" s="56" t="str">
        <f t="shared" si="67"/>
        <v>Black</v>
      </c>
      <c r="K139" s="56" t="str">
        <f t="shared" si="50"/>
        <v>Yellow</v>
      </c>
      <c r="L139" s="56" t="str">
        <f t="shared" si="51"/>
        <v>Black</v>
      </c>
      <c r="M139" s="56" t="str">
        <f t="shared" si="52"/>
        <v>Yellow</v>
      </c>
      <c r="N139" s="56" t="str">
        <f t="shared" si="68"/>
        <v>42-083</v>
      </c>
      <c r="O139" s="56" t="str">
        <f t="shared" si="69"/>
        <v>42-084</v>
      </c>
      <c r="P139" s="56" t="str">
        <f t="shared" si="70"/>
        <v>42-083</v>
      </c>
      <c r="Q139" s="56" t="str">
        <f t="shared" si="71"/>
        <v>42-084</v>
      </c>
      <c r="R139" s="37">
        <v>270</v>
      </c>
      <c r="S139" s="37">
        <v>40.68</v>
      </c>
      <c r="T139" s="37">
        <v>15.33</v>
      </c>
      <c r="U139" s="37">
        <v>668.35</v>
      </c>
      <c r="V139" s="37">
        <v>27.72</v>
      </c>
      <c r="W139" s="37">
        <v>47.05</v>
      </c>
      <c r="X139" s="37">
        <f t="shared" si="60"/>
        <v>31.449098950285077</v>
      </c>
      <c r="Y139" s="37">
        <f t="shared" si="61"/>
        <v>37.922915223530666</v>
      </c>
      <c r="Z139" s="37">
        <v>54.04</v>
      </c>
      <c r="AA139" s="37">
        <v>72.180000000000007</v>
      </c>
      <c r="AB139" s="37">
        <f t="shared" si="72"/>
        <v>938.35</v>
      </c>
      <c r="AC139" s="37">
        <f t="shared" si="53"/>
        <v>0.41804035991330357</v>
      </c>
      <c r="AD139" s="37">
        <f t="shared" si="54"/>
        <v>0.58195964008669643</v>
      </c>
      <c r="AE139" s="37">
        <f t="shared" si="55"/>
        <v>0.47460632829688743</v>
      </c>
      <c r="AF139" s="37">
        <f t="shared" si="62"/>
        <v>0.52539367170311257</v>
      </c>
      <c r="AG139" s="37">
        <v>1</v>
      </c>
      <c r="AH139" s="37">
        <f t="shared" si="56"/>
        <v>186.17295668996832</v>
      </c>
      <c r="AI139" s="37">
        <f t="shared" si="57"/>
        <v>259.17389146741607</v>
      </c>
      <c r="AJ139" s="37">
        <f t="shared" si="58"/>
        <v>206.09521503468011</v>
      </c>
      <c r="AK139" s="37">
        <f t="shared" si="59"/>
        <v>286.90793680793558</v>
      </c>
      <c r="AL139" s="2"/>
    </row>
    <row r="140" spans="2:38" x14ac:dyDescent="0.2">
      <c r="B140" s="51" t="s">
        <v>31</v>
      </c>
      <c r="C140" s="51" t="s">
        <v>74</v>
      </c>
      <c r="D140" s="51">
        <v>20</v>
      </c>
      <c r="E140" s="51" t="s">
        <v>75</v>
      </c>
      <c r="F140" s="37" t="str">
        <f t="shared" si="63"/>
        <v>6219K73</v>
      </c>
      <c r="G140" s="37" t="str">
        <f t="shared" si="64"/>
        <v>6219K87</v>
      </c>
      <c r="H140" s="37" t="str">
        <f t="shared" si="65"/>
        <v>6219K87</v>
      </c>
      <c r="I140" s="37" t="str">
        <f t="shared" si="66"/>
        <v>6219K87</v>
      </c>
      <c r="J140" s="56" t="str">
        <f t="shared" si="67"/>
        <v>Black</v>
      </c>
      <c r="K140" s="56" t="str">
        <f t="shared" si="50"/>
        <v>Yellow</v>
      </c>
      <c r="L140" s="56" t="str">
        <f t="shared" si="51"/>
        <v>Yellow</v>
      </c>
      <c r="M140" s="56" t="str">
        <f t="shared" si="52"/>
        <v>Yellow</v>
      </c>
      <c r="N140" s="56" t="str">
        <f t="shared" si="68"/>
        <v>42-083</v>
      </c>
      <c r="O140" s="56" t="str">
        <f t="shared" si="69"/>
        <v>42-084</v>
      </c>
      <c r="P140" s="56" t="str">
        <f t="shared" si="70"/>
        <v>42-084</v>
      </c>
      <c r="Q140" s="56" t="str">
        <f t="shared" si="71"/>
        <v>42-084</v>
      </c>
      <c r="R140" s="37">
        <v>289</v>
      </c>
      <c r="S140" s="37">
        <v>40.68</v>
      </c>
      <c r="T140" s="37">
        <v>15.33</v>
      </c>
      <c r="U140" s="37">
        <v>807.95</v>
      </c>
      <c r="V140" s="37">
        <v>28.187999999999999</v>
      </c>
      <c r="W140" s="37">
        <v>49.87</v>
      </c>
      <c r="X140" s="37">
        <f t="shared" si="60"/>
        <v>31.479114453712569</v>
      </c>
      <c r="Y140" s="37">
        <f t="shared" si="61"/>
        <v>40.770168649437075</v>
      </c>
      <c r="Z140" s="37">
        <v>54.04</v>
      </c>
      <c r="AA140" s="37">
        <v>72.180000000000007</v>
      </c>
      <c r="AB140" s="37">
        <f t="shared" si="72"/>
        <v>1096.95</v>
      </c>
      <c r="AC140" s="37">
        <f t="shared" si="53"/>
        <v>0.41748492868777631</v>
      </c>
      <c r="AD140" s="37">
        <f t="shared" si="54"/>
        <v>0.58251507131222369</v>
      </c>
      <c r="AE140" s="37">
        <f t="shared" si="55"/>
        <v>0.43515975825107966</v>
      </c>
      <c r="AF140" s="37">
        <f t="shared" si="62"/>
        <v>0.56484024174892034</v>
      </c>
      <c r="AG140" s="37">
        <v>1</v>
      </c>
      <c r="AH140" s="37">
        <f t="shared" si="56"/>
        <v>199.28580315141039</v>
      </c>
      <c r="AI140" s="37">
        <f t="shared" si="57"/>
        <v>278.06269366211149</v>
      </c>
      <c r="AJ140" s="37">
        <f t="shared" si="58"/>
        <v>258.67428937264583</v>
      </c>
      <c r="AK140" s="37">
        <f t="shared" si="59"/>
        <v>360.92721381383234</v>
      </c>
      <c r="AL140" s="2"/>
    </row>
    <row r="141" spans="2:38" x14ac:dyDescent="0.2">
      <c r="B141" s="51" t="s">
        <v>31</v>
      </c>
      <c r="C141" s="51" t="s">
        <v>83</v>
      </c>
      <c r="D141" s="51">
        <v>20</v>
      </c>
      <c r="E141" s="51" t="s">
        <v>75</v>
      </c>
      <c r="F141" s="37" t="str">
        <f t="shared" si="63"/>
        <v>6219K73</v>
      </c>
      <c r="G141" s="37" t="str">
        <f t="shared" si="64"/>
        <v>6219K87</v>
      </c>
      <c r="H141" s="37" t="str">
        <f t="shared" si="65"/>
        <v>6219K73</v>
      </c>
      <c r="I141" s="37" t="str">
        <f t="shared" si="66"/>
        <v>6219K87</v>
      </c>
      <c r="J141" s="56" t="str">
        <f t="shared" si="67"/>
        <v>Black</v>
      </c>
      <c r="K141" s="56" t="str">
        <f t="shared" si="50"/>
        <v>Yellow</v>
      </c>
      <c r="L141" s="56" t="str">
        <f t="shared" si="51"/>
        <v>Black</v>
      </c>
      <c r="M141" s="56" t="str">
        <f t="shared" si="52"/>
        <v>Yellow</v>
      </c>
      <c r="N141" s="56" t="str">
        <f t="shared" si="68"/>
        <v>42-083</v>
      </c>
      <c r="O141" s="56" t="str">
        <f t="shared" si="69"/>
        <v>42-084</v>
      </c>
      <c r="P141" s="56" t="str">
        <f t="shared" si="70"/>
        <v>42-083</v>
      </c>
      <c r="Q141" s="56" t="str">
        <f t="shared" si="71"/>
        <v>42-084</v>
      </c>
      <c r="R141" s="37">
        <v>289</v>
      </c>
      <c r="S141" s="37">
        <v>40.68</v>
      </c>
      <c r="T141" s="37">
        <v>15.33</v>
      </c>
      <c r="U141" s="37">
        <v>766.1</v>
      </c>
      <c r="V141" s="37">
        <v>28.09</v>
      </c>
      <c r="W141" s="37">
        <v>49.27</v>
      </c>
      <c r="X141" s="37">
        <f t="shared" si="60"/>
        <v>31.538497772722966</v>
      </c>
      <c r="Y141" s="37">
        <f t="shared" si="61"/>
        <v>39.973573121031194</v>
      </c>
      <c r="Z141" s="37">
        <v>54.04</v>
      </c>
      <c r="AA141" s="37">
        <v>72.180000000000007</v>
      </c>
      <c r="AB141" s="37">
        <f t="shared" si="72"/>
        <v>1055.0999999999999</v>
      </c>
      <c r="AC141" s="37">
        <f t="shared" si="53"/>
        <v>0.41638605157803543</v>
      </c>
      <c r="AD141" s="37">
        <f t="shared" si="54"/>
        <v>0.58361394842196457</v>
      </c>
      <c r="AE141" s="37">
        <f t="shared" si="55"/>
        <v>0.44619599444401237</v>
      </c>
      <c r="AF141" s="37">
        <f t="shared" si="62"/>
        <v>0.55380400555598763</v>
      </c>
      <c r="AG141" s="37">
        <v>1</v>
      </c>
      <c r="AH141" s="37">
        <f t="shared" si="56"/>
        <v>196.02680569491923</v>
      </c>
      <c r="AI141" s="37">
        <f t="shared" si="57"/>
        <v>274.75458804295818</v>
      </c>
      <c r="AJ141" s="37">
        <f t="shared" si="58"/>
        <v>243.30211732506592</v>
      </c>
      <c r="AK141" s="37">
        <f t="shared" si="59"/>
        <v>341.01648893705658</v>
      </c>
      <c r="AL141" s="2"/>
    </row>
    <row r="142" spans="2:38" x14ac:dyDescent="0.2">
      <c r="B142" s="51" t="s">
        <v>31</v>
      </c>
      <c r="C142" s="51" t="s">
        <v>84</v>
      </c>
      <c r="D142" s="51">
        <v>20</v>
      </c>
      <c r="E142" s="51" t="s">
        <v>75</v>
      </c>
      <c r="F142" s="37" t="str">
        <f t="shared" si="63"/>
        <v>6219K73</v>
      </c>
      <c r="G142" s="37" t="str">
        <f t="shared" si="64"/>
        <v>6219K87</v>
      </c>
      <c r="H142" s="37" t="str">
        <f t="shared" si="65"/>
        <v>6219K73</v>
      </c>
      <c r="I142" s="37" t="str">
        <f t="shared" si="66"/>
        <v>6219K87</v>
      </c>
      <c r="J142" s="56" t="str">
        <f t="shared" si="67"/>
        <v>Black</v>
      </c>
      <c r="K142" s="56" t="str">
        <f t="shared" si="50"/>
        <v>Yellow</v>
      </c>
      <c r="L142" s="56" t="str">
        <f t="shared" si="51"/>
        <v>Black</v>
      </c>
      <c r="M142" s="56" t="str">
        <f t="shared" si="52"/>
        <v>Yellow</v>
      </c>
      <c r="N142" s="56" t="str">
        <f t="shared" si="68"/>
        <v>42-083</v>
      </c>
      <c r="O142" s="56" t="str">
        <f t="shared" si="69"/>
        <v>42-084</v>
      </c>
      <c r="P142" s="56" t="str">
        <f t="shared" si="70"/>
        <v>42-083</v>
      </c>
      <c r="Q142" s="56" t="str">
        <f t="shared" si="71"/>
        <v>42-084</v>
      </c>
      <c r="R142" s="37">
        <v>289</v>
      </c>
      <c r="S142" s="37">
        <v>40.68</v>
      </c>
      <c r="T142" s="37">
        <v>15.33</v>
      </c>
      <c r="U142" s="37">
        <v>668.35</v>
      </c>
      <c r="V142" s="37">
        <v>27.72</v>
      </c>
      <c r="W142" s="37">
        <v>47.05</v>
      </c>
      <c r="X142" s="37">
        <f t="shared" si="60"/>
        <v>31.632299576957227</v>
      </c>
      <c r="Y142" s="37">
        <f t="shared" si="61"/>
        <v>37.47452603541025</v>
      </c>
      <c r="Z142" s="37">
        <v>54.04</v>
      </c>
      <c r="AA142" s="37">
        <v>72.180000000000007</v>
      </c>
      <c r="AB142" s="37">
        <f t="shared" si="72"/>
        <v>957.35</v>
      </c>
      <c r="AC142" s="37">
        <f t="shared" si="53"/>
        <v>0.41465026689568418</v>
      </c>
      <c r="AD142" s="37">
        <f t="shared" si="54"/>
        <v>0.58534973310431582</v>
      </c>
      <c r="AE142" s="37">
        <f t="shared" si="55"/>
        <v>0.48081842566624766</v>
      </c>
      <c r="AF142" s="37">
        <f t="shared" si="62"/>
        <v>0.51918157433375234</v>
      </c>
      <c r="AG142" s="37">
        <v>1</v>
      </c>
      <c r="AH142" s="37">
        <f t="shared" si="56"/>
        <v>190.86829454503058</v>
      </c>
      <c r="AI142" s="37">
        <f t="shared" si="57"/>
        <v>269.44322526655162</v>
      </c>
      <c r="AJ142" s="37">
        <f t="shared" si="58"/>
        <v>206.0971384675527</v>
      </c>
      <c r="AK142" s="37">
        <f t="shared" si="59"/>
        <v>290.94134172086513</v>
      </c>
      <c r="AL142" s="2"/>
    </row>
    <row r="143" spans="2:38" x14ac:dyDescent="0.2">
      <c r="B143" s="51" t="s">
        <v>31</v>
      </c>
      <c r="C143" s="51" t="s">
        <v>74</v>
      </c>
      <c r="D143" s="51">
        <v>25</v>
      </c>
      <c r="E143" s="51" t="s">
        <v>75</v>
      </c>
      <c r="F143" s="37" t="str">
        <f t="shared" si="63"/>
        <v>6219K73</v>
      </c>
      <c r="G143" s="37" t="str">
        <f t="shared" si="64"/>
        <v>6219K87</v>
      </c>
      <c r="H143" s="37" t="str">
        <f t="shared" si="65"/>
        <v>6219K87</v>
      </c>
      <c r="I143" s="37" t="str">
        <f t="shared" si="66"/>
        <v>6219K88</v>
      </c>
      <c r="J143" s="56" t="str">
        <f t="shared" si="67"/>
        <v>Black</v>
      </c>
      <c r="K143" s="56" t="str">
        <f t="shared" si="50"/>
        <v>Yellow</v>
      </c>
      <c r="L143" s="56" t="str">
        <f t="shared" si="51"/>
        <v>Yellow</v>
      </c>
      <c r="M143" s="56" t="str">
        <f t="shared" si="52"/>
        <v>Yellow/Green</v>
      </c>
      <c r="N143" s="56" t="str">
        <f t="shared" si="68"/>
        <v>42-083</v>
      </c>
      <c r="O143" s="56" t="str">
        <f t="shared" si="69"/>
        <v>42-084</v>
      </c>
      <c r="P143" s="56" t="str">
        <f t="shared" si="70"/>
        <v>42-084</v>
      </c>
      <c r="Q143" s="56" t="str">
        <f t="shared" si="71"/>
        <v>42-085</v>
      </c>
      <c r="R143" s="37">
        <v>388</v>
      </c>
      <c r="S143" s="37">
        <v>40.68</v>
      </c>
      <c r="T143" s="37">
        <v>15.33</v>
      </c>
      <c r="U143" s="37">
        <v>807.95</v>
      </c>
      <c r="V143" s="37">
        <v>28.187999999999999</v>
      </c>
      <c r="W143" s="37">
        <v>49.87</v>
      </c>
      <c r="X143" s="37">
        <f t="shared" si="60"/>
        <v>32.240758058447263</v>
      </c>
      <c r="Y143" s="37">
        <f t="shared" si="61"/>
        <v>38.664247251139265</v>
      </c>
      <c r="Z143" s="37">
        <v>54.04</v>
      </c>
      <c r="AA143" s="37">
        <v>72.180000000000007</v>
      </c>
      <c r="AB143" s="37">
        <f t="shared" si="72"/>
        <v>1195.95</v>
      </c>
      <c r="AC143" s="37">
        <f t="shared" si="53"/>
        <v>0.40339085754168647</v>
      </c>
      <c r="AD143" s="37">
        <f t="shared" si="54"/>
        <v>0.59660914245831353</v>
      </c>
      <c r="AE143" s="37">
        <f t="shared" si="55"/>
        <v>0.46433572663979961</v>
      </c>
      <c r="AF143" s="37">
        <f t="shared" si="62"/>
        <v>0.53566427336020039</v>
      </c>
      <c r="AG143" s="37">
        <v>1</v>
      </c>
      <c r="AH143" s="37">
        <f t="shared" si="56"/>
        <v>224.01194376059135</v>
      </c>
      <c r="AI143" s="37">
        <f t="shared" si="57"/>
        <v>331.310368514277</v>
      </c>
      <c r="AJ143" s="37">
        <f t="shared" si="58"/>
        <v>258.42335231638862</v>
      </c>
      <c r="AK143" s="37">
        <f t="shared" si="59"/>
        <v>382.20433540874308</v>
      </c>
      <c r="AL143" s="2"/>
    </row>
    <row r="144" spans="2:38" x14ac:dyDescent="0.2">
      <c r="B144" s="51" t="s">
        <v>31</v>
      </c>
      <c r="C144" s="51" t="s">
        <v>83</v>
      </c>
      <c r="D144" s="51">
        <v>25</v>
      </c>
      <c r="E144" s="51" t="s">
        <v>75</v>
      </c>
      <c r="F144" s="37" t="str">
        <f t="shared" si="63"/>
        <v>6219K73</v>
      </c>
      <c r="G144" s="37" t="str">
        <f t="shared" si="64"/>
        <v>6219K87</v>
      </c>
      <c r="H144" s="37" t="str">
        <f t="shared" si="65"/>
        <v>6219K73</v>
      </c>
      <c r="I144" s="37" t="str">
        <f t="shared" si="66"/>
        <v>6219K87</v>
      </c>
      <c r="J144" s="56" t="str">
        <f t="shared" si="67"/>
        <v>Black</v>
      </c>
      <c r="K144" s="56" t="str">
        <f t="shared" si="50"/>
        <v>Yellow</v>
      </c>
      <c r="L144" s="56" t="str">
        <f t="shared" si="51"/>
        <v>Black</v>
      </c>
      <c r="M144" s="56" t="str">
        <f t="shared" si="52"/>
        <v>Yellow</v>
      </c>
      <c r="N144" s="56" t="str">
        <f t="shared" si="68"/>
        <v>42-083</v>
      </c>
      <c r="O144" s="56" t="str">
        <f t="shared" si="69"/>
        <v>42-084</v>
      </c>
      <c r="P144" s="56" t="str">
        <f t="shared" si="70"/>
        <v>42-083</v>
      </c>
      <c r="Q144" s="56" t="str">
        <f t="shared" si="71"/>
        <v>42-084</v>
      </c>
      <c r="R144" s="37">
        <v>388</v>
      </c>
      <c r="S144" s="37">
        <v>40.68</v>
      </c>
      <c r="T144" s="37">
        <v>15.33</v>
      </c>
      <c r="U144" s="37">
        <v>766.1</v>
      </c>
      <c r="V144" s="37">
        <v>28.09</v>
      </c>
      <c r="W144" s="37">
        <v>49.27</v>
      </c>
      <c r="X144" s="37">
        <f t="shared" si="60"/>
        <v>32.322666146781046</v>
      </c>
      <c r="Y144" s="37">
        <f t="shared" si="61"/>
        <v>37.859619617017593</v>
      </c>
      <c r="Z144" s="37">
        <v>54.04</v>
      </c>
      <c r="AA144" s="37">
        <v>72.180000000000007</v>
      </c>
      <c r="AB144" s="37">
        <f t="shared" si="72"/>
        <v>1154.0999999999999</v>
      </c>
      <c r="AC144" s="37">
        <f t="shared" si="53"/>
        <v>0.40187516382714572</v>
      </c>
      <c r="AD144" s="37">
        <f t="shared" si="54"/>
        <v>0.59812483617285428</v>
      </c>
      <c r="AE144" s="37">
        <f t="shared" si="55"/>
        <v>0.47548324165949585</v>
      </c>
      <c r="AF144" s="37">
        <f t="shared" si="62"/>
        <v>0.52451675834050415</v>
      </c>
      <c r="AG144" s="37">
        <v>1</v>
      </c>
      <c r="AH144" s="37">
        <f t="shared" si="56"/>
        <v>220.53108959793781</v>
      </c>
      <c r="AI144" s="37">
        <f t="shared" si="57"/>
        <v>328.2241196012863</v>
      </c>
      <c r="AJ144" s="37">
        <f t="shared" si="58"/>
        <v>243.27303697497103</v>
      </c>
      <c r="AK144" s="37">
        <f t="shared" si="59"/>
        <v>362.07175382580482</v>
      </c>
      <c r="AL144" s="2"/>
    </row>
    <row r="145" spans="2:38" x14ac:dyDescent="0.2">
      <c r="B145" s="51" t="s">
        <v>31</v>
      </c>
      <c r="C145" s="51" t="s">
        <v>84</v>
      </c>
      <c r="D145" s="51">
        <v>25</v>
      </c>
      <c r="E145" s="51" t="s">
        <v>75</v>
      </c>
      <c r="F145" s="37" t="str">
        <f t="shared" si="63"/>
        <v>6219K73</v>
      </c>
      <c r="G145" s="37" t="str">
        <f t="shared" si="64"/>
        <v>6219K87</v>
      </c>
      <c r="H145" s="37" t="str">
        <f t="shared" si="65"/>
        <v>6219K73</v>
      </c>
      <c r="I145" s="37" t="str">
        <f t="shared" si="66"/>
        <v>6219K87</v>
      </c>
      <c r="J145" s="56" t="str">
        <f t="shared" si="67"/>
        <v>Black</v>
      </c>
      <c r="K145" s="56" t="str">
        <f t="shared" si="50"/>
        <v>Yellow</v>
      </c>
      <c r="L145" s="56" t="str">
        <f t="shared" si="51"/>
        <v>Black</v>
      </c>
      <c r="M145" s="56" t="str">
        <f t="shared" si="52"/>
        <v>Yellow</v>
      </c>
      <c r="N145" s="56" t="str">
        <f t="shared" si="68"/>
        <v>42-083</v>
      </c>
      <c r="O145" s="56" t="str">
        <f t="shared" si="69"/>
        <v>42-084</v>
      </c>
      <c r="P145" s="56" t="str">
        <f t="shared" si="70"/>
        <v>42-083</v>
      </c>
      <c r="Q145" s="56" t="str">
        <f t="shared" si="71"/>
        <v>42-084</v>
      </c>
      <c r="R145" s="37">
        <v>388</v>
      </c>
      <c r="S145" s="37">
        <v>40.68</v>
      </c>
      <c r="T145" s="37">
        <v>15.33</v>
      </c>
      <c r="U145" s="37">
        <v>668.35</v>
      </c>
      <c r="V145" s="37">
        <v>27.72</v>
      </c>
      <c r="W145" s="37">
        <v>47.05</v>
      </c>
      <c r="X145" s="37">
        <f t="shared" si="60"/>
        <v>32.480240450608228</v>
      </c>
      <c r="Y145" s="37">
        <f t="shared" si="61"/>
        <v>35.399164576134808</v>
      </c>
      <c r="Z145" s="37">
        <v>54.04</v>
      </c>
      <c r="AA145" s="37">
        <v>72.180000000000007</v>
      </c>
      <c r="AB145" s="37">
        <f t="shared" si="72"/>
        <v>1056.3499999999999</v>
      </c>
      <c r="AC145" s="37">
        <f t="shared" si="53"/>
        <v>0.39895928107682777</v>
      </c>
      <c r="AD145" s="37">
        <f t="shared" si="54"/>
        <v>0.60104071892317223</v>
      </c>
      <c r="AE145" s="37">
        <f t="shared" si="55"/>
        <v>0.50957100892027141</v>
      </c>
      <c r="AF145" s="37">
        <f t="shared" si="62"/>
        <v>0.49042899107972854</v>
      </c>
      <c r="AG145" s="37">
        <v>1</v>
      </c>
      <c r="AH145" s="37">
        <f t="shared" si="56"/>
        <v>214.7539303746868</v>
      </c>
      <c r="AI145" s="37">
        <f t="shared" si="57"/>
        <v>323.53140489824182</v>
      </c>
      <c r="AJ145" s="37">
        <f t="shared" si="58"/>
        <v>206.68670619082013</v>
      </c>
      <c r="AK145" s="37">
        <f t="shared" si="59"/>
        <v>311.37795853625101</v>
      </c>
      <c r="AL145" s="2"/>
    </row>
    <row r="146" spans="2:38" x14ac:dyDescent="0.2">
      <c r="B146" s="51" t="s">
        <v>31</v>
      </c>
      <c r="C146" s="51" t="s">
        <v>74</v>
      </c>
      <c r="D146" s="51">
        <v>30</v>
      </c>
      <c r="E146" s="51" t="s">
        <v>75</v>
      </c>
      <c r="F146" s="37" t="str">
        <f t="shared" si="63"/>
        <v>6219K73</v>
      </c>
      <c r="G146" s="37" t="str">
        <f t="shared" si="64"/>
        <v>6219K87</v>
      </c>
      <c r="H146" s="37" t="str">
        <f t="shared" si="65"/>
        <v>6219K87</v>
      </c>
      <c r="I146" s="37" t="str">
        <f t="shared" si="66"/>
        <v>6219K88</v>
      </c>
      <c r="J146" s="56" t="str">
        <f t="shared" si="67"/>
        <v>Black</v>
      </c>
      <c r="K146" s="56" t="str">
        <f t="shared" si="50"/>
        <v>Yellow</v>
      </c>
      <c r="L146" s="56" t="str">
        <f t="shared" si="51"/>
        <v>Yellow</v>
      </c>
      <c r="M146" s="56" t="str">
        <f t="shared" si="52"/>
        <v>Yellow/Green</v>
      </c>
      <c r="N146" s="56" t="str">
        <f t="shared" si="68"/>
        <v>42-083</v>
      </c>
      <c r="O146" s="56" t="str">
        <f t="shared" si="69"/>
        <v>42-084</v>
      </c>
      <c r="P146" s="56" t="str">
        <f t="shared" si="70"/>
        <v>42-084</v>
      </c>
      <c r="Q146" s="56" t="str">
        <f t="shared" si="71"/>
        <v>42-085</v>
      </c>
      <c r="R146" s="37">
        <v>430</v>
      </c>
      <c r="S146" s="37">
        <v>40.68</v>
      </c>
      <c r="T146" s="37">
        <v>15.33</v>
      </c>
      <c r="U146" s="37">
        <v>807.95</v>
      </c>
      <c r="V146" s="37">
        <v>28.187999999999999</v>
      </c>
      <c r="W146" s="37">
        <v>49.87</v>
      </c>
      <c r="X146" s="37">
        <f t="shared" si="60"/>
        <v>32.527076699382043</v>
      </c>
      <c r="Y146" s="37">
        <f t="shared" si="61"/>
        <v>37.872584918615452</v>
      </c>
      <c r="Z146" s="37">
        <v>54.04</v>
      </c>
      <c r="AA146" s="37">
        <v>72.180000000000007</v>
      </c>
      <c r="AB146" s="37">
        <f t="shared" si="72"/>
        <v>1237.95</v>
      </c>
      <c r="AC146" s="37">
        <f t="shared" si="53"/>
        <v>0.39809258513356693</v>
      </c>
      <c r="AD146" s="37">
        <f t="shared" si="54"/>
        <v>0.60190741486643307</v>
      </c>
      <c r="AE146" s="37">
        <f t="shared" si="55"/>
        <v>0.47530361708762192</v>
      </c>
      <c r="AF146" s="37">
        <f t="shared" si="62"/>
        <v>0.52469638291237808</v>
      </c>
      <c r="AG146" s="37">
        <v>1</v>
      </c>
      <c r="AH146" s="37">
        <f t="shared" si="56"/>
        <v>234.2385181721036</v>
      </c>
      <c r="AI146" s="37">
        <f t="shared" si="57"/>
        <v>354.16359460151796</v>
      </c>
      <c r="AJ146" s="37">
        <f t="shared" si="58"/>
        <v>258.58019759399559</v>
      </c>
      <c r="AK146" s="37">
        <f t="shared" si="59"/>
        <v>390.96768963238287</v>
      </c>
      <c r="AL146" s="2"/>
    </row>
    <row r="147" spans="2:38" x14ac:dyDescent="0.2">
      <c r="B147" s="51" t="s">
        <v>31</v>
      </c>
      <c r="C147" s="51" t="s">
        <v>83</v>
      </c>
      <c r="D147" s="51">
        <v>30</v>
      </c>
      <c r="E147" s="51" t="s">
        <v>75</v>
      </c>
      <c r="F147" s="37" t="str">
        <f t="shared" si="63"/>
        <v>6219K73</v>
      </c>
      <c r="G147" s="37" t="str">
        <f t="shared" si="64"/>
        <v>6219K87</v>
      </c>
      <c r="H147" s="37" t="str">
        <f t="shared" si="65"/>
        <v>6219K73</v>
      </c>
      <c r="I147" s="37" t="str">
        <f t="shared" si="66"/>
        <v>6219K88</v>
      </c>
      <c r="J147" s="56" t="str">
        <f t="shared" si="67"/>
        <v>Black</v>
      </c>
      <c r="K147" s="56" t="str">
        <f t="shared" si="50"/>
        <v>Yellow</v>
      </c>
      <c r="L147" s="56" t="str">
        <f t="shared" si="51"/>
        <v>Black</v>
      </c>
      <c r="M147" s="56" t="str">
        <f t="shared" si="52"/>
        <v>Yellow/Green</v>
      </c>
      <c r="N147" s="56" t="str">
        <f t="shared" si="68"/>
        <v>42-083</v>
      </c>
      <c r="O147" s="56" t="str">
        <f t="shared" si="69"/>
        <v>42-084</v>
      </c>
      <c r="P147" s="56" t="str">
        <f t="shared" si="70"/>
        <v>42-083</v>
      </c>
      <c r="Q147" s="56" t="str">
        <f t="shared" si="71"/>
        <v>42-085</v>
      </c>
      <c r="R147" s="37">
        <v>430</v>
      </c>
      <c r="S147" s="37">
        <v>40.68</v>
      </c>
      <c r="T147" s="37">
        <v>15.33</v>
      </c>
      <c r="U147" s="37">
        <v>766.1</v>
      </c>
      <c r="V147" s="37">
        <v>28.09</v>
      </c>
      <c r="W147" s="37">
        <v>49.27</v>
      </c>
      <c r="X147" s="37">
        <f t="shared" si="60"/>
        <v>32.616126578045318</v>
      </c>
      <c r="Y147" s="37">
        <f t="shared" si="61"/>
        <v>37.068511830114545</v>
      </c>
      <c r="Z147" s="37">
        <v>54.04</v>
      </c>
      <c r="AA147" s="37">
        <v>72.180000000000007</v>
      </c>
      <c r="AB147" s="37">
        <f t="shared" si="72"/>
        <v>1196.0999999999999</v>
      </c>
      <c r="AC147" s="37">
        <f t="shared" si="53"/>
        <v>0.39644473393698521</v>
      </c>
      <c r="AD147" s="37">
        <f t="shared" si="54"/>
        <v>0.60355526606301479</v>
      </c>
      <c r="AE147" s="37">
        <f t="shared" si="55"/>
        <v>0.48644344929184624</v>
      </c>
      <c r="AF147" s="37">
        <f t="shared" si="62"/>
        <v>0.51355655070815376</v>
      </c>
      <c r="AG147" s="37">
        <v>1</v>
      </c>
      <c r="AH147" s="37">
        <f t="shared" si="56"/>
        <v>230.66542561493779</v>
      </c>
      <c r="AI147" s="37">
        <f t="shared" si="57"/>
        <v>351.16958408303947</v>
      </c>
      <c r="AJ147" s="37">
        <f t="shared" si="58"/>
        <v>243.52212064709019</v>
      </c>
      <c r="AK147" s="37">
        <f t="shared" si="59"/>
        <v>370.74286965493252</v>
      </c>
      <c r="AL147" s="2"/>
    </row>
    <row r="148" spans="2:38" x14ac:dyDescent="0.2">
      <c r="B148" s="51" t="s">
        <v>31</v>
      </c>
      <c r="C148" s="51" t="s">
        <v>84</v>
      </c>
      <c r="D148" s="51">
        <v>30</v>
      </c>
      <c r="E148" s="51" t="s">
        <v>75</v>
      </c>
      <c r="F148" s="37" t="str">
        <f t="shared" si="63"/>
        <v>6219K73</v>
      </c>
      <c r="G148" s="37" t="str">
        <f t="shared" si="64"/>
        <v>6219K87</v>
      </c>
      <c r="H148" s="37" t="str">
        <f t="shared" si="65"/>
        <v>6219K73</v>
      </c>
      <c r="I148" s="37" t="str">
        <f t="shared" si="66"/>
        <v>6219K87</v>
      </c>
      <c r="J148" s="56" t="str">
        <f t="shared" si="67"/>
        <v>Black</v>
      </c>
      <c r="K148" s="56" t="str">
        <f t="shared" si="50"/>
        <v>Yellow</v>
      </c>
      <c r="L148" s="56" t="str">
        <f t="shared" si="51"/>
        <v>Black</v>
      </c>
      <c r="M148" s="56" t="str">
        <f t="shared" si="52"/>
        <v>Yellow</v>
      </c>
      <c r="N148" s="56" t="str">
        <f t="shared" si="68"/>
        <v>42-083</v>
      </c>
      <c r="O148" s="56" t="str">
        <f t="shared" si="69"/>
        <v>42-084</v>
      </c>
      <c r="P148" s="56" t="str">
        <f t="shared" si="70"/>
        <v>42-083</v>
      </c>
      <c r="Q148" s="56" t="str">
        <f t="shared" si="71"/>
        <v>42-084</v>
      </c>
      <c r="R148" s="37">
        <v>430</v>
      </c>
      <c r="S148" s="37">
        <v>40.68</v>
      </c>
      <c r="T148" s="37">
        <v>15.33</v>
      </c>
      <c r="U148" s="37">
        <v>668.35</v>
      </c>
      <c r="V148" s="37">
        <v>27.72</v>
      </c>
      <c r="W148" s="37">
        <v>47.05</v>
      </c>
      <c r="X148" s="37">
        <f t="shared" si="60"/>
        <v>32.793792506942239</v>
      </c>
      <c r="Y148" s="37">
        <f t="shared" si="61"/>
        <v>34.631736240724727</v>
      </c>
      <c r="Z148" s="37">
        <v>54.04</v>
      </c>
      <c r="AA148" s="37">
        <v>72.180000000000007</v>
      </c>
      <c r="AB148" s="37">
        <f t="shared" si="72"/>
        <v>1098.3499999999999</v>
      </c>
      <c r="AC148" s="37">
        <f t="shared" si="53"/>
        <v>0.39315705945702739</v>
      </c>
      <c r="AD148" s="37">
        <f t="shared" si="54"/>
        <v>0.60684294054297261</v>
      </c>
      <c r="AE148" s="37">
        <f t="shared" si="55"/>
        <v>0.5202031554346811</v>
      </c>
      <c r="AF148" s="37">
        <f t="shared" si="62"/>
        <v>0.47979684456531896</v>
      </c>
      <c r="AG148" s="37">
        <v>1</v>
      </c>
      <c r="AH148" s="37">
        <f t="shared" si="56"/>
        <v>224.63623665625968</v>
      </c>
      <c r="AI148" s="37">
        <f t="shared" si="57"/>
        <v>346.72889911542222</v>
      </c>
      <c r="AJ148" s="37">
        <f t="shared" si="58"/>
        <v>207.18781959836633</v>
      </c>
      <c r="AK148" s="37">
        <f t="shared" si="59"/>
        <v>319.7970446299517</v>
      </c>
      <c r="AL148" s="2"/>
    </row>
    <row r="149" spans="2:38" x14ac:dyDescent="0.2">
      <c r="B149" s="51" t="s">
        <v>31</v>
      </c>
      <c r="C149" s="51" t="s">
        <v>74</v>
      </c>
      <c r="D149" s="51">
        <v>40</v>
      </c>
      <c r="E149" s="51" t="s">
        <v>75</v>
      </c>
      <c r="F149" s="37" t="str">
        <f t="shared" si="63"/>
        <v>6219K87</v>
      </c>
      <c r="G149" s="37" t="str">
        <f t="shared" si="64"/>
        <v>6219K88</v>
      </c>
      <c r="H149" s="37" t="str">
        <f t="shared" si="65"/>
        <v>6219K87</v>
      </c>
      <c r="I149" s="37" t="str">
        <f t="shared" si="66"/>
        <v>6219K88</v>
      </c>
      <c r="J149" s="56" t="str">
        <f t="shared" si="67"/>
        <v>Yellow</v>
      </c>
      <c r="K149" s="56" t="str">
        <f t="shared" si="50"/>
        <v>Yellow/Green</v>
      </c>
      <c r="L149" s="56" t="str">
        <f t="shared" si="51"/>
        <v>Yellow</v>
      </c>
      <c r="M149" s="56" t="str">
        <f t="shared" si="52"/>
        <v>Yellow/Green</v>
      </c>
      <c r="N149" s="56" t="str">
        <f t="shared" si="68"/>
        <v>42-084</v>
      </c>
      <c r="O149" s="56" t="str">
        <f t="shared" si="69"/>
        <v>42-085</v>
      </c>
      <c r="P149" s="56" t="str">
        <f t="shared" si="70"/>
        <v>42-084</v>
      </c>
      <c r="Q149" s="56" t="str">
        <f t="shared" si="71"/>
        <v>42-085</v>
      </c>
      <c r="R149" s="37">
        <v>570</v>
      </c>
      <c r="S149" s="37">
        <v>40.68</v>
      </c>
      <c r="T149" s="37">
        <v>15.33</v>
      </c>
      <c r="U149" s="37">
        <v>807.95</v>
      </c>
      <c r="V149" s="37">
        <v>28.187999999999999</v>
      </c>
      <c r="W149" s="37">
        <v>49.87</v>
      </c>
      <c r="X149" s="37">
        <f t="shared" si="60"/>
        <v>33.355415363402152</v>
      </c>
      <c r="Y149" s="37">
        <f t="shared" si="61"/>
        <v>35.582253710221707</v>
      </c>
      <c r="Z149" s="37">
        <v>54.04</v>
      </c>
      <c r="AA149" s="37">
        <v>72.180000000000007</v>
      </c>
      <c r="AB149" s="37">
        <f t="shared" si="72"/>
        <v>1377.95</v>
      </c>
      <c r="AC149" s="37">
        <f t="shared" si="53"/>
        <v>0.38276433450403125</v>
      </c>
      <c r="AD149" s="37">
        <f t="shared" si="54"/>
        <v>0.61723566549596875</v>
      </c>
      <c r="AE149" s="37">
        <f t="shared" si="55"/>
        <v>0.50703444568825562</v>
      </c>
      <c r="AF149" s="37">
        <f t="shared" si="62"/>
        <v>0.49296555431174433</v>
      </c>
      <c r="AG149" s="37">
        <v>1</v>
      </c>
      <c r="AH149" s="37">
        <f t="shared" si="56"/>
        <v>267.42523586133234</v>
      </c>
      <c r="AI149" s="37">
        <f t="shared" si="57"/>
        <v>431.24287857479953</v>
      </c>
      <c r="AJ149" s="37">
        <f t="shared" si="58"/>
        <v>260.00487886849749</v>
      </c>
      <c r="AK149" s="37">
        <f t="shared" si="59"/>
        <v>419.27700669537063</v>
      </c>
      <c r="AL149" s="2"/>
    </row>
    <row r="150" spans="2:38" x14ac:dyDescent="0.2">
      <c r="B150" s="51" t="s">
        <v>31</v>
      </c>
      <c r="C150" s="51" t="s">
        <v>83</v>
      </c>
      <c r="D150" s="51">
        <v>40</v>
      </c>
      <c r="E150" s="51" t="s">
        <v>75</v>
      </c>
      <c r="F150" s="37" t="str">
        <f t="shared" si="63"/>
        <v>6219K87</v>
      </c>
      <c r="G150" s="37" t="str">
        <f t="shared" si="64"/>
        <v>6219K88</v>
      </c>
      <c r="H150" s="37" t="str">
        <f t="shared" si="65"/>
        <v>6219K73</v>
      </c>
      <c r="I150" s="37" t="str">
        <f t="shared" si="66"/>
        <v>6219K88</v>
      </c>
      <c r="J150" s="56" t="str">
        <f t="shared" si="67"/>
        <v>Yellow</v>
      </c>
      <c r="K150" s="56" t="str">
        <f t="shared" si="50"/>
        <v>Yellow/Green</v>
      </c>
      <c r="L150" s="56" t="str">
        <f t="shared" si="51"/>
        <v>Black</v>
      </c>
      <c r="M150" s="56" t="str">
        <f t="shared" si="52"/>
        <v>Yellow/Green</v>
      </c>
      <c r="N150" s="56" t="str">
        <f t="shared" si="68"/>
        <v>42-084</v>
      </c>
      <c r="O150" s="56" t="str">
        <f t="shared" si="69"/>
        <v>42-085</v>
      </c>
      <c r="P150" s="56" t="str">
        <f t="shared" si="70"/>
        <v>42-083</v>
      </c>
      <c r="Q150" s="56" t="str">
        <f t="shared" si="71"/>
        <v>42-085</v>
      </c>
      <c r="R150" s="37">
        <v>570</v>
      </c>
      <c r="S150" s="37">
        <v>40.68</v>
      </c>
      <c r="T150" s="37">
        <v>15.33</v>
      </c>
      <c r="U150" s="37">
        <v>766.1</v>
      </c>
      <c r="V150" s="37">
        <v>28.09</v>
      </c>
      <c r="W150" s="37">
        <v>49.27</v>
      </c>
      <c r="X150" s="37">
        <f t="shared" si="60"/>
        <v>33.461080008981369</v>
      </c>
      <c r="Y150" s="37">
        <f t="shared" si="61"/>
        <v>34.790694558790513</v>
      </c>
      <c r="Z150" s="37">
        <v>54.04</v>
      </c>
      <c r="AA150" s="37">
        <v>72.180000000000007</v>
      </c>
      <c r="AB150" s="37">
        <f t="shared" si="72"/>
        <v>1336.1</v>
      </c>
      <c r="AC150" s="37">
        <f t="shared" si="53"/>
        <v>0.38080903018169188</v>
      </c>
      <c r="AD150" s="37">
        <f t="shared" si="54"/>
        <v>0.61919096981830812</v>
      </c>
      <c r="AE150" s="37">
        <f t="shared" si="55"/>
        <v>0.5180009066390896</v>
      </c>
      <c r="AF150" s="37">
        <f t="shared" si="62"/>
        <v>0.48199909336091035</v>
      </c>
      <c r="AG150" s="37">
        <v>1</v>
      </c>
      <c r="AH150" s="37">
        <f t="shared" si="56"/>
        <v>263.55831492395538</v>
      </c>
      <c r="AI150" s="37">
        <f t="shared" si="57"/>
        <v>428.54269643653214</v>
      </c>
      <c r="AJ150" s="37">
        <f t="shared" si="58"/>
        <v>245.24063030180307</v>
      </c>
      <c r="AK150" s="37">
        <f t="shared" si="59"/>
        <v>398.75835833770918</v>
      </c>
      <c r="AL150" s="2"/>
    </row>
    <row r="151" spans="2:38" x14ac:dyDescent="0.2">
      <c r="B151" s="51" t="s">
        <v>31</v>
      </c>
      <c r="C151" s="51" t="s">
        <v>84</v>
      </c>
      <c r="D151" s="51">
        <v>40</v>
      </c>
      <c r="E151" s="51" t="s">
        <v>75</v>
      </c>
      <c r="F151" s="37" t="str">
        <f t="shared" si="63"/>
        <v>6219K87</v>
      </c>
      <c r="G151" s="37" t="str">
        <f t="shared" si="64"/>
        <v>6219K88</v>
      </c>
      <c r="H151" s="37" t="str">
        <f t="shared" si="65"/>
        <v>6219K73</v>
      </c>
      <c r="I151" s="37" t="str">
        <f t="shared" si="66"/>
        <v>6219K87</v>
      </c>
      <c r="J151" s="56" t="str">
        <f t="shared" si="67"/>
        <v>Yellow</v>
      </c>
      <c r="K151" s="56" t="str">
        <f t="shared" si="50"/>
        <v>Yellow/Green</v>
      </c>
      <c r="L151" s="56" t="str">
        <f t="shared" si="51"/>
        <v>Black</v>
      </c>
      <c r="M151" s="56" t="str">
        <f t="shared" si="52"/>
        <v>Yellow</v>
      </c>
      <c r="N151" s="56" t="str">
        <f t="shared" si="68"/>
        <v>42-084</v>
      </c>
      <c r="O151" s="56" t="str">
        <f t="shared" si="69"/>
        <v>42-085</v>
      </c>
      <c r="P151" s="56" t="str">
        <f t="shared" si="70"/>
        <v>42-083</v>
      </c>
      <c r="Q151" s="56" t="str">
        <f t="shared" si="71"/>
        <v>42-084</v>
      </c>
      <c r="R151" s="37">
        <v>570</v>
      </c>
      <c r="S151" s="37">
        <v>40.68</v>
      </c>
      <c r="T151" s="37">
        <v>15.33</v>
      </c>
      <c r="U151" s="37">
        <v>668.35</v>
      </c>
      <c r="V151" s="37">
        <v>27.72</v>
      </c>
      <c r="W151" s="37">
        <v>47.05</v>
      </c>
      <c r="X151" s="37">
        <f t="shared" si="60"/>
        <v>33.68535712843704</v>
      </c>
      <c r="Y151" s="37">
        <f t="shared" si="61"/>
        <v>32.449604312189607</v>
      </c>
      <c r="Z151" s="37">
        <v>54.04</v>
      </c>
      <c r="AA151" s="37">
        <v>72.180000000000007</v>
      </c>
      <c r="AB151" s="37">
        <f t="shared" si="72"/>
        <v>1238.3499999999999</v>
      </c>
      <c r="AC151" s="37">
        <f t="shared" si="53"/>
        <v>0.37665882441826348</v>
      </c>
      <c r="AD151" s="37">
        <f t="shared" si="54"/>
        <v>0.62334117558173652</v>
      </c>
      <c r="AE151" s="37">
        <f t="shared" si="55"/>
        <v>0.55043496381006363</v>
      </c>
      <c r="AF151" s="37">
        <f t="shared" si="62"/>
        <v>0.44956503618993632</v>
      </c>
      <c r="AG151" s="37">
        <v>1</v>
      </c>
      <c r="AH151" s="37">
        <f t="shared" si="56"/>
        <v>256.74238291284661</v>
      </c>
      <c r="AI151" s="37">
        <f t="shared" si="57"/>
        <v>424.88875452134562</v>
      </c>
      <c r="AJ151" s="37">
        <f t="shared" si="58"/>
        <v>209.69307230550987</v>
      </c>
      <c r="AK151" s="37">
        <f t="shared" si="59"/>
        <v>347.0257902602977</v>
      </c>
      <c r="AL151" s="2"/>
    </row>
    <row r="152" spans="2:38" ht="15" x14ac:dyDescent="0.25">
      <c r="B152" s="37" t="s">
        <v>32</v>
      </c>
      <c r="C152" s="37" t="s">
        <v>74</v>
      </c>
      <c r="D152" s="37">
        <v>20</v>
      </c>
      <c r="E152" s="51" t="s">
        <v>75</v>
      </c>
      <c r="F152" s="37" t="str">
        <f t="shared" si="63"/>
        <v>6219K88</v>
      </c>
      <c r="G152" s="37" t="str">
        <f t="shared" si="64"/>
        <v>6219K74</v>
      </c>
      <c r="H152" s="37" t="str">
        <f t="shared" si="65"/>
        <v>6219K87</v>
      </c>
      <c r="I152" s="37" t="str">
        <f t="shared" si="66"/>
        <v>6219K88</v>
      </c>
      <c r="J152" s="56" t="str">
        <f>VLOOKUP(AH152,$AM$15:$AQ$18,3,TRUE)</f>
        <v>C-B-750</v>
      </c>
      <c r="K152" s="56" t="str">
        <f t="shared" ref="K152:M167" si="73">VLOOKUP(AI152,$AM$15:$AQ$18,3,TRUE)</f>
        <v>C-B-750</v>
      </c>
      <c r="L152" s="56" t="str">
        <f t="shared" si="73"/>
        <v>C-B-450</v>
      </c>
      <c r="M152" s="56" t="str">
        <f t="shared" si="73"/>
        <v>C-B-450</v>
      </c>
      <c r="N152" s="56" t="str">
        <f t="shared" si="68"/>
        <v>42-085</v>
      </c>
      <c r="O152" s="56" t="str">
        <f t="shared" si="69"/>
        <v>See ENG</v>
      </c>
      <c r="P152" s="56" t="str">
        <f t="shared" si="70"/>
        <v>42-084</v>
      </c>
      <c r="Q152" s="56" t="str">
        <f t="shared" si="71"/>
        <v>42-085</v>
      </c>
      <c r="R152" s="37">
        <v>289</v>
      </c>
      <c r="S152" s="57">
        <v>44.5</v>
      </c>
      <c r="T152" s="57">
        <v>18.7</v>
      </c>
      <c r="U152" s="37">
        <v>1509</v>
      </c>
      <c r="V152" s="37">
        <v>26.4</v>
      </c>
      <c r="W152" s="37">
        <v>45.7</v>
      </c>
      <c r="X152" s="37">
        <f t="shared" si="60"/>
        <v>29.30928809788654</v>
      </c>
      <c r="Y152" s="37">
        <f t="shared" si="61"/>
        <v>41.360177975528366</v>
      </c>
      <c r="Z152" s="57">
        <v>55</v>
      </c>
      <c r="AA152" s="57">
        <v>95</v>
      </c>
      <c r="AB152" s="37">
        <f>R152+U152</f>
        <v>1798</v>
      </c>
      <c r="AC152" s="37">
        <f t="shared" si="53"/>
        <v>0.46710385276569932</v>
      </c>
      <c r="AD152" s="37">
        <f t="shared" si="54"/>
        <v>0.53289614723430068</v>
      </c>
      <c r="AE152" s="37">
        <f t="shared" si="55"/>
        <v>0.56462970552075409</v>
      </c>
      <c r="AF152" s="37">
        <f t="shared" si="62"/>
        <v>0.43537029447924597</v>
      </c>
      <c r="AG152" s="37">
        <v>1</v>
      </c>
      <c r="AH152" s="37">
        <f t="shared" si="56"/>
        <v>474.20579808080225</v>
      </c>
      <c r="AI152" s="37">
        <f t="shared" si="57"/>
        <v>540.99841244551362</v>
      </c>
      <c r="AJ152" s="37">
        <f t="shared" si="58"/>
        <v>365.64692919192521</v>
      </c>
      <c r="AK152" s="37">
        <f t="shared" si="59"/>
        <v>417.14886028175908</v>
      </c>
      <c r="AL152" s="2"/>
    </row>
    <row r="153" spans="2:38" ht="15" x14ac:dyDescent="0.25">
      <c r="B153" s="37" t="s">
        <v>32</v>
      </c>
      <c r="C153" s="37" t="s">
        <v>83</v>
      </c>
      <c r="D153" s="37">
        <v>20</v>
      </c>
      <c r="E153" s="51" t="s">
        <v>75</v>
      </c>
      <c r="F153" s="37" t="str">
        <f t="shared" si="63"/>
        <v>6219K88</v>
      </c>
      <c r="G153" s="37" t="str">
        <f t="shared" si="64"/>
        <v>6219K88</v>
      </c>
      <c r="H153" s="37" t="str">
        <f t="shared" si="65"/>
        <v>6219K87</v>
      </c>
      <c r="I153" s="37" t="str">
        <f t="shared" si="66"/>
        <v>6219K87</v>
      </c>
      <c r="J153" s="56" t="str">
        <f t="shared" ref="J153:J172" si="74">VLOOKUP(AH153,$AM$15:$AQ$18,3,TRUE)</f>
        <v>C-B-450</v>
      </c>
      <c r="K153" s="56" t="str">
        <f t="shared" si="73"/>
        <v>C-B-750</v>
      </c>
      <c r="L153" s="56" t="str">
        <f t="shared" si="73"/>
        <v>C-B-450</v>
      </c>
      <c r="M153" s="56" t="str">
        <f t="shared" si="73"/>
        <v>C-B-450</v>
      </c>
      <c r="N153" s="56" t="str">
        <f t="shared" si="68"/>
        <v>42-085</v>
      </c>
      <c r="O153" s="56" t="str">
        <f t="shared" si="69"/>
        <v>42-085</v>
      </c>
      <c r="P153" s="56" t="str">
        <f t="shared" si="70"/>
        <v>42-084</v>
      </c>
      <c r="Q153" s="56" t="str">
        <f t="shared" si="71"/>
        <v>42-084</v>
      </c>
      <c r="R153" s="37">
        <v>289</v>
      </c>
      <c r="S153" s="57">
        <v>44.5</v>
      </c>
      <c r="T153" s="57">
        <v>18.7</v>
      </c>
      <c r="U153" s="57">
        <v>1281</v>
      </c>
      <c r="V153" s="57">
        <v>26.1</v>
      </c>
      <c r="W153" s="57">
        <v>42.5</v>
      </c>
      <c r="X153" s="37">
        <f t="shared" si="60"/>
        <v>29.487006369426751</v>
      </c>
      <c r="Y153" s="37">
        <f t="shared" si="61"/>
        <v>38.118980891719744</v>
      </c>
      <c r="Z153" s="57">
        <v>55</v>
      </c>
      <c r="AA153" s="57">
        <v>95</v>
      </c>
      <c r="AB153" s="37">
        <f t="shared" ref="AB153:AB172" si="75">R153+U153</f>
        <v>1570</v>
      </c>
      <c r="AC153" s="37">
        <f t="shared" si="53"/>
        <v>0.46387261146496817</v>
      </c>
      <c r="AD153" s="37">
        <f t="shared" si="54"/>
        <v>0.53612738853503183</v>
      </c>
      <c r="AE153" s="37">
        <f t="shared" si="55"/>
        <v>0.59874756956084485</v>
      </c>
      <c r="AF153" s="37">
        <f t="shared" si="62"/>
        <v>0.40125243043915521</v>
      </c>
      <c r="AG153" s="37">
        <v>1</v>
      </c>
      <c r="AH153" s="37">
        <f t="shared" si="56"/>
        <v>436.05587995977208</v>
      </c>
      <c r="AI153" s="37">
        <f t="shared" si="57"/>
        <v>503.97780425075433</v>
      </c>
      <c r="AJ153" s="37">
        <f t="shared" si="58"/>
        <v>292.22412004022794</v>
      </c>
      <c r="AK153" s="37">
        <f t="shared" si="59"/>
        <v>337.74219574924575</v>
      </c>
      <c r="AL153" s="2"/>
    </row>
    <row r="154" spans="2:38" ht="15" x14ac:dyDescent="0.25">
      <c r="B154" s="37" t="s">
        <v>32</v>
      </c>
      <c r="C154" s="37" t="s">
        <v>84</v>
      </c>
      <c r="D154" s="37">
        <v>20</v>
      </c>
      <c r="E154" s="51" t="s">
        <v>75</v>
      </c>
      <c r="F154" s="37" t="str">
        <f t="shared" si="63"/>
        <v>6219K88</v>
      </c>
      <c r="G154" s="37" t="str">
        <f t="shared" si="64"/>
        <v>6219K88</v>
      </c>
      <c r="H154" s="37" t="str">
        <f t="shared" si="65"/>
        <v>6219K87</v>
      </c>
      <c r="I154" s="37" t="str">
        <f t="shared" si="66"/>
        <v>6219K88</v>
      </c>
      <c r="J154" s="56" t="str">
        <f t="shared" si="74"/>
        <v>C-B-450</v>
      </c>
      <c r="K154" s="56" t="str">
        <f t="shared" si="73"/>
        <v>C-B-750</v>
      </c>
      <c r="L154" s="56" t="str">
        <f t="shared" si="73"/>
        <v>C-B-450</v>
      </c>
      <c r="M154" s="56" t="str">
        <f t="shared" si="73"/>
        <v>C-B-450</v>
      </c>
      <c r="N154" s="56" t="str">
        <f t="shared" si="68"/>
        <v>42-085</v>
      </c>
      <c r="O154" s="56" t="str">
        <f t="shared" si="69"/>
        <v>42-085</v>
      </c>
      <c r="P154" s="56" t="str">
        <f t="shared" si="70"/>
        <v>42-084</v>
      </c>
      <c r="Q154" s="56" t="str">
        <f t="shared" si="71"/>
        <v>42-085</v>
      </c>
      <c r="R154" s="37">
        <v>289</v>
      </c>
      <c r="S154" s="57">
        <v>44.5</v>
      </c>
      <c r="T154" s="57">
        <v>18.7</v>
      </c>
      <c r="U154" s="37">
        <v>1363</v>
      </c>
      <c r="V154" s="37">
        <v>26.4</v>
      </c>
      <c r="W154" s="37">
        <v>47</v>
      </c>
      <c r="X154" s="37">
        <f t="shared" si="60"/>
        <v>29.566404358353509</v>
      </c>
      <c r="Y154" s="37">
        <f t="shared" si="61"/>
        <v>42.049213075060536</v>
      </c>
      <c r="Z154" s="57">
        <v>55</v>
      </c>
      <c r="AA154" s="57">
        <v>95</v>
      </c>
      <c r="AB154" s="37">
        <f t="shared" si="75"/>
        <v>1652</v>
      </c>
      <c r="AC154" s="37">
        <f t="shared" ref="AC154:AC172" si="76">1-AD154</f>
        <v>0.46242901166629979</v>
      </c>
      <c r="AD154" s="37">
        <f t="shared" ref="AD154:AD172" si="77">(X154/Z154)</f>
        <v>0.53757098833370021</v>
      </c>
      <c r="AE154" s="37">
        <f t="shared" ref="AE154:AE172" si="78">1-AF154</f>
        <v>0.55737670447304699</v>
      </c>
      <c r="AF154" s="37">
        <f t="shared" si="62"/>
        <v>0.44262329552695301</v>
      </c>
      <c r="AG154" s="37">
        <v>1</v>
      </c>
      <c r="AH154" s="37">
        <f t="shared" ref="AH154:AH172" si="79">AB154*AC154*AE154*AG154</f>
        <v>425.7983059663797</v>
      </c>
      <c r="AI154" s="37">
        <f t="shared" ref="AI154:AI172" si="80">AB154*AD154*AE154*AG154</f>
        <v>494.98800982309393</v>
      </c>
      <c r="AJ154" s="37">
        <f t="shared" ref="AJ154:AJ172" si="81">AB154*AC154*AF154*AG154</f>
        <v>338.13442130634752</v>
      </c>
      <c r="AK154" s="37">
        <f t="shared" ref="AK154:AK172" si="82">AB154*AD154*AF154*AG154</f>
        <v>393.07926290417885</v>
      </c>
      <c r="AL154" s="2"/>
    </row>
    <row r="155" spans="2:38" ht="15" x14ac:dyDescent="0.25">
      <c r="B155" s="37" t="s">
        <v>32</v>
      </c>
      <c r="C155" s="37" t="s">
        <v>74</v>
      </c>
      <c r="D155" s="37">
        <v>25</v>
      </c>
      <c r="E155" s="51" t="s">
        <v>75</v>
      </c>
      <c r="F155" s="37" t="str">
        <f t="shared" si="63"/>
        <v>6219K88</v>
      </c>
      <c r="G155" s="37" t="str">
        <f t="shared" si="64"/>
        <v>6219K74</v>
      </c>
      <c r="H155" s="37" t="str">
        <f t="shared" si="65"/>
        <v>6219K87</v>
      </c>
      <c r="I155" s="37" t="str">
        <f t="shared" si="66"/>
        <v>6219K88</v>
      </c>
      <c r="J155" s="56" t="str">
        <f t="shared" si="74"/>
        <v>C-B-750</v>
      </c>
      <c r="K155" s="56" t="str">
        <f t="shared" si="73"/>
        <v>C-B-750</v>
      </c>
      <c r="L155" s="56" t="str">
        <f t="shared" si="73"/>
        <v>C-B-450</v>
      </c>
      <c r="M155" s="56" t="str">
        <f t="shared" si="73"/>
        <v>C-B-450</v>
      </c>
      <c r="N155" s="56" t="str">
        <f t="shared" si="68"/>
        <v>42-085</v>
      </c>
      <c r="O155" s="56" t="str">
        <f t="shared" si="69"/>
        <v>See ENG</v>
      </c>
      <c r="P155" s="56" t="str">
        <f t="shared" si="70"/>
        <v>42-084</v>
      </c>
      <c r="Q155" s="56" t="str">
        <f t="shared" si="71"/>
        <v>42-085</v>
      </c>
      <c r="R155" s="37">
        <v>388</v>
      </c>
      <c r="S155" s="57">
        <v>44.5</v>
      </c>
      <c r="T155" s="57">
        <v>18.7</v>
      </c>
      <c r="U155" s="37">
        <v>1509</v>
      </c>
      <c r="V155" s="37">
        <v>26.4</v>
      </c>
      <c r="W155" s="37">
        <v>45.7</v>
      </c>
      <c r="X155" s="37">
        <f t="shared" si="60"/>
        <v>30.102055877701634</v>
      </c>
      <c r="Y155" s="37">
        <f t="shared" si="61"/>
        <v>40.177596204533479</v>
      </c>
      <c r="Z155" s="57">
        <v>55</v>
      </c>
      <c r="AA155" s="57">
        <v>95</v>
      </c>
      <c r="AB155" s="37">
        <f t="shared" si="75"/>
        <v>1897</v>
      </c>
      <c r="AC155" s="37">
        <f t="shared" si="76"/>
        <v>0.45268989313269759</v>
      </c>
      <c r="AD155" s="37">
        <f t="shared" si="77"/>
        <v>0.54731010686730241</v>
      </c>
      <c r="AE155" s="37">
        <f t="shared" si="78"/>
        <v>0.57707793468912127</v>
      </c>
      <c r="AF155" s="37">
        <f t="shared" si="62"/>
        <v>0.42292206531087873</v>
      </c>
      <c r="AG155" s="37">
        <v>1</v>
      </c>
      <c r="AH155" s="37">
        <f t="shared" si="79"/>
        <v>495.56725026319566</v>
      </c>
      <c r="AI155" s="37">
        <f t="shared" si="80"/>
        <v>599.14959184206737</v>
      </c>
      <c r="AJ155" s="37">
        <f t="shared" si="81"/>
        <v>363.18547700953161</v>
      </c>
      <c r="AK155" s="37">
        <f t="shared" si="82"/>
        <v>439.09768088520536</v>
      </c>
      <c r="AL155" s="2"/>
    </row>
    <row r="156" spans="2:38" ht="15" x14ac:dyDescent="0.25">
      <c r="B156" s="37" t="s">
        <v>32</v>
      </c>
      <c r="C156" s="37" t="s">
        <v>83</v>
      </c>
      <c r="D156" s="37">
        <v>25</v>
      </c>
      <c r="E156" s="51" t="s">
        <v>75</v>
      </c>
      <c r="F156" s="37" t="str">
        <f t="shared" si="63"/>
        <v>6219K88</v>
      </c>
      <c r="G156" s="37" t="str">
        <f t="shared" si="64"/>
        <v>6219K74</v>
      </c>
      <c r="H156" s="37" t="str">
        <f t="shared" si="65"/>
        <v>6219K87</v>
      </c>
      <c r="I156" s="37" t="str">
        <f t="shared" si="66"/>
        <v>6219K87</v>
      </c>
      <c r="J156" s="56" t="str">
        <f t="shared" si="74"/>
        <v>C-B-750</v>
      </c>
      <c r="K156" s="56" t="str">
        <f t="shared" si="73"/>
        <v>C-B-750</v>
      </c>
      <c r="L156" s="56" t="str">
        <f t="shared" si="73"/>
        <v>C-B-450</v>
      </c>
      <c r="M156" s="56" t="str">
        <f t="shared" si="73"/>
        <v>C-B-450</v>
      </c>
      <c r="N156" s="56" t="str">
        <f t="shared" si="68"/>
        <v>42-085</v>
      </c>
      <c r="O156" s="56" t="str">
        <f t="shared" si="69"/>
        <v>See ENG</v>
      </c>
      <c r="P156" s="56" t="str">
        <f t="shared" si="70"/>
        <v>42-084</v>
      </c>
      <c r="Q156" s="56" t="str">
        <f t="shared" si="71"/>
        <v>42-084</v>
      </c>
      <c r="R156" s="37">
        <v>388</v>
      </c>
      <c r="S156" s="57">
        <v>44.5</v>
      </c>
      <c r="T156" s="57">
        <v>18.7</v>
      </c>
      <c r="U156" s="57">
        <v>1281</v>
      </c>
      <c r="V156" s="57">
        <v>26.1</v>
      </c>
      <c r="W156" s="57">
        <v>42.5</v>
      </c>
      <c r="X156" s="37">
        <f t="shared" si="60"/>
        <v>30.377531455961652</v>
      </c>
      <c r="Y156" s="37">
        <f t="shared" si="61"/>
        <v>36.967106051527857</v>
      </c>
      <c r="Z156" s="57">
        <v>55</v>
      </c>
      <c r="AA156" s="57">
        <v>95</v>
      </c>
      <c r="AB156" s="37">
        <f t="shared" si="75"/>
        <v>1669</v>
      </c>
      <c r="AC156" s="37">
        <f t="shared" si="76"/>
        <v>0.44768124625524275</v>
      </c>
      <c r="AD156" s="37">
        <f t="shared" si="77"/>
        <v>0.55231875374475725</v>
      </c>
      <c r="AE156" s="37">
        <f t="shared" si="78"/>
        <v>0.61087256787865418</v>
      </c>
      <c r="AF156" s="37">
        <f t="shared" si="62"/>
        <v>0.38912743212134587</v>
      </c>
      <c r="AG156" s="37">
        <v>1</v>
      </c>
      <c r="AH156" s="37">
        <f t="shared" si="79"/>
        <v>456.43176526757293</v>
      </c>
      <c r="AI156" s="37">
        <f t="shared" si="80"/>
        <v>563.11455052190092</v>
      </c>
      <c r="AJ156" s="37">
        <f t="shared" si="81"/>
        <v>290.74823473242731</v>
      </c>
      <c r="AK156" s="37">
        <f t="shared" si="82"/>
        <v>358.70544947809896</v>
      </c>
      <c r="AL156" s="2"/>
    </row>
    <row r="157" spans="2:38" ht="15" x14ac:dyDescent="0.25">
      <c r="B157" s="37" t="s">
        <v>32</v>
      </c>
      <c r="C157" s="37" t="s">
        <v>84</v>
      </c>
      <c r="D157" s="37">
        <v>25</v>
      </c>
      <c r="E157" s="51" t="s">
        <v>75</v>
      </c>
      <c r="F157" s="37" t="str">
        <f t="shared" si="63"/>
        <v>6219K88</v>
      </c>
      <c r="G157" s="37" t="str">
        <f t="shared" si="64"/>
        <v>6219K74</v>
      </c>
      <c r="H157" s="37" t="str">
        <f t="shared" si="65"/>
        <v>6219K87</v>
      </c>
      <c r="I157" s="37" t="str">
        <f t="shared" si="66"/>
        <v>6219K88</v>
      </c>
      <c r="J157" s="56" t="str">
        <f t="shared" si="74"/>
        <v>C-B-450</v>
      </c>
      <c r="K157" s="56" t="str">
        <f t="shared" si="73"/>
        <v>C-B-750</v>
      </c>
      <c r="L157" s="56" t="str">
        <f t="shared" si="73"/>
        <v>C-B-450</v>
      </c>
      <c r="M157" s="56" t="str">
        <f t="shared" si="73"/>
        <v>C-B-450</v>
      </c>
      <c r="N157" s="56" t="str">
        <f t="shared" si="68"/>
        <v>42-085</v>
      </c>
      <c r="O157" s="56" t="str">
        <f t="shared" si="69"/>
        <v>See ENG</v>
      </c>
      <c r="P157" s="56" t="str">
        <f t="shared" si="70"/>
        <v>42-084</v>
      </c>
      <c r="Q157" s="56" t="str">
        <f t="shared" si="71"/>
        <v>42-085</v>
      </c>
      <c r="R157" s="37">
        <v>388</v>
      </c>
      <c r="S157" s="57">
        <v>44.5</v>
      </c>
      <c r="T157" s="57">
        <v>18.7</v>
      </c>
      <c r="U157" s="37">
        <v>1363</v>
      </c>
      <c r="V157" s="37">
        <v>26.4</v>
      </c>
      <c r="W157" s="37">
        <v>47</v>
      </c>
      <c r="X157" s="37">
        <f t="shared" si="60"/>
        <v>30.410736721873214</v>
      </c>
      <c r="Y157" s="37">
        <f t="shared" si="61"/>
        <v>40.729069103369504</v>
      </c>
      <c r="Z157" s="57">
        <v>55</v>
      </c>
      <c r="AA157" s="57">
        <v>95</v>
      </c>
      <c r="AB157" s="37">
        <f t="shared" si="75"/>
        <v>1751</v>
      </c>
      <c r="AC157" s="37">
        <f t="shared" si="76"/>
        <v>0.44707751414775976</v>
      </c>
      <c r="AD157" s="37">
        <f t="shared" si="77"/>
        <v>0.55292248585224024</v>
      </c>
      <c r="AE157" s="37">
        <f t="shared" si="78"/>
        <v>0.57127295680663681</v>
      </c>
      <c r="AF157" s="37">
        <f t="shared" si="62"/>
        <v>0.42872704319336319</v>
      </c>
      <c r="AG157" s="37">
        <v>1</v>
      </c>
      <c r="AH157" s="37">
        <f t="shared" si="79"/>
        <v>447.21116679409442</v>
      </c>
      <c r="AI157" s="37">
        <f t="shared" si="80"/>
        <v>553.08778057432664</v>
      </c>
      <c r="AJ157" s="37">
        <f t="shared" si="81"/>
        <v>335.62156047863289</v>
      </c>
      <c r="AK157" s="37">
        <f t="shared" si="82"/>
        <v>415.0794921529461</v>
      </c>
      <c r="AL157" s="2"/>
    </row>
    <row r="158" spans="2:38" ht="15" x14ac:dyDescent="0.25">
      <c r="B158" s="37" t="s">
        <v>32</v>
      </c>
      <c r="C158" s="37" t="s">
        <v>74</v>
      </c>
      <c r="D158" s="37">
        <v>30</v>
      </c>
      <c r="E158" s="51" t="s">
        <v>75</v>
      </c>
      <c r="F158" s="37" t="str">
        <f t="shared" si="63"/>
        <v>6219K88</v>
      </c>
      <c r="G158" s="37" t="str">
        <f t="shared" si="64"/>
        <v>6219K74</v>
      </c>
      <c r="H158" s="37" t="str">
        <f t="shared" si="65"/>
        <v>6219K87</v>
      </c>
      <c r="I158" s="37" t="str">
        <f t="shared" si="66"/>
        <v>6219K88</v>
      </c>
      <c r="J158" s="56" t="str">
        <f t="shared" si="74"/>
        <v>C-B-750</v>
      </c>
      <c r="K158" s="56" t="str">
        <f t="shared" si="73"/>
        <v>C-B-750</v>
      </c>
      <c r="L158" s="56" t="str">
        <f t="shared" si="73"/>
        <v>C-B-450</v>
      </c>
      <c r="M158" s="56" t="str">
        <f t="shared" si="73"/>
        <v>C-B-450</v>
      </c>
      <c r="N158" s="56" t="str">
        <f t="shared" si="68"/>
        <v>42-085</v>
      </c>
      <c r="O158" s="56" t="str">
        <f t="shared" si="69"/>
        <v>See ENG</v>
      </c>
      <c r="P158" s="56" t="str">
        <f t="shared" si="70"/>
        <v>42-084</v>
      </c>
      <c r="Q158" s="56" t="str">
        <f t="shared" si="71"/>
        <v>42-085</v>
      </c>
      <c r="R158" s="37">
        <v>430</v>
      </c>
      <c r="S158" s="57">
        <v>44.5</v>
      </c>
      <c r="T158" s="57">
        <v>18.7</v>
      </c>
      <c r="U158" s="37">
        <v>1509</v>
      </c>
      <c r="V158" s="37">
        <v>26.4</v>
      </c>
      <c r="W158" s="37">
        <v>45.7</v>
      </c>
      <c r="X158" s="37">
        <f t="shared" si="60"/>
        <v>30.41392470345539</v>
      </c>
      <c r="Y158" s="37">
        <f t="shared" si="61"/>
        <v>39.71237751418257</v>
      </c>
      <c r="Z158" s="57">
        <v>55</v>
      </c>
      <c r="AA158" s="57">
        <v>95</v>
      </c>
      <c r="AB158" s="37">
        <f t="shared" si="75"/>
        <v>1939</v>
      </c>
      <c r="AC158" s="37">
        <f t="shared" si="76"/>
        <v>0.44701955084626566</v>
      </c>
      <c r="AD158" s="37">
        <f t="shared" si="77"/>
        <v>0.55298044915373434</v>
      </c>
      <c r="AE158" s="37">
        <f t="shared" si="78"/>
        <v>0.58197497353492034</v>
      </c>
      <c r="AF158" s="37">
        <f t="shared" si="62"/>
        <v>0.41802502646507966</v>
      </c>
      <c r="AG158" s="37">
        <v>1</v>
      </c>
      <c r="AH158" s="37">
        <f t="shared" si="79"/>
        <v>504.43897687902063</v>
      </c>
      <c r="AI158" s="37">
        <f t="shared" si="80"/>
        <v>624.01049680518986</v>
      </c>
      <c r="AJ158" s="37">
        <f t="shared" si="81"/>
        <v>362.33193221188844</v>
      </c>
      <c r="AK158" s="37">
        <f t="shared" si="82"/>
        <v>448.21859410390107</v>
      </c>
      <c r="AL158" s="2"/>
    </row>
    <row r="159" spans="2:38" ht="15" x14ac:dyDescent="0.25">
      <c r="B159" s="37" t="s">
        <v>32</v>
      </c>
      <c r="C159" s="37" t="s">
        <v>83</v>
      </c>
      <c r="D159" s="37">
        <v>30</v>
      </c>
      <c r="E159" s="51" t="s">
        <v>75</v>
      </c>
      <c r="F159" s="37" t="str">
        <f t="shared" si="63"/>
        <v>6219K88</v>
      </c>
      <c r="G159" s="37" t="str">
        <f t="shared" si="64"/>
        <v>6219K74</v>
      </c>
      <c r="H159" s="37" t="str">
        <f t="shared" si="65"/>
        <v>6219K87</v>
      </c>
      <c r="I159" s="37" t="str">
        <f t="shared" si="66"/>
        <v>6219K87</v>
      </c>
      <c r="J159" s="56" t="str">
        <f t="shared" si="74"/>
        <v>C-B-750</v>
      </c>
      <c r="K159" s="56" t="str">
        <f t="shared" si="73"/>
        <v>C-B-750</v>
      </c>
      <c r="L159" s="56" t="str">
        <f t="shared" si="73"/>
        <v>C-B-450</v>
      </c>
      <c r="M159" s="56" t="str">
        <f t="shared" si="73"/>
        <v>C-B-450</v>
      </c>
      <c r="N159" s="56" t="str">
        <f t="shared" si="68"/>
        <v>42-085</v>
      </c>
      <c r="O159" s="56" t="str">
        <f t="shared" si="69"/>
        <v>See ENG</v>
      </c>
      <c r="P159" s="56" t="str">
        <f t="shared" si="70"/>
        <v>42-084</v>
      </c>
      <c r="Q159" s="56" t="str">
        <f t="shared" si="71"/>
        <v>42-084</v>
      </c>
      <c r="R159" s="37">
        <v>430</v>
      </c>
      <c r="S159" s="57">
        <v>44.5</v>
      </c>
      <c r="T159" s="57">
        <v>18.7</v>
      </c>
      <c r="U159" s="57">
        <v>1281</v>
      </c>
      <c r="V159" s="57">
        <v>26.1</v>
      </c>
      <c r="W159" s="57">
        <v>42.5</v>
      </c>
      <c r="X159" s="37">
        <f t="shared" si="60"/>
        <v>30.724196376388075</v>
      </c>
      <c r="Y159" s="37">
        <f t="shared" si="61"/>
        <v>36.518702513150203</v>
      </c>
      <c r="Z159" s="57">
        <v>55</v>
      </c>
      <c r="AA159" s="57">
        <v>95</v>
      </c>
      <c r="AB159" s="37">
        <f t="shared" si="75"/>
        <v>1711</v>
      </c>
      <c r="AC159" s="37">
        <f t="shared" si="76"/>
        <v>0.44137824770203504</v>
      </c>
      <c r="AD159" s="37">
        <f t="shared" si="77"/>
        <v>0.55862175229796496</v>
      </c>
      <c r="AE159" s="37">
        <f t="shared" si="78"/>
        <v>0.61559260512473468</v>
      </c>
      <c r="AF159" s="37">
        <f t="shared" si="62"/>
        <v>0.38440739487526526</v>
      </c>
      <c r="AG159" s="37">
        <v>1</v>
      </c>
      <c r="AH159" s="37">
        <f t="shared" si="79"/>
        <v>464.8944161309177</v>
      </c>
      <c r="AI159" s="37">
        <f t="shared" si="80"/>
        <v>588.38453123750332</v>
      </c>
      <c r="AJ159" s="37">
        <f t="shared" si="81"/>
        <v>290.30376568726427</v>
      </c>
      <c r="AK159" s="37">
        <f t="shared" si="82"/>
        <v>367.41728694431464</v>
      </c>
      <c r="AL159" s="2"/>
    </row>
    <row r="160" spans="2:38" ht="15" x14ac:dyDescent="0.25">
      <c r="B160" s="37" t="s">
        <v>32</v>
      </c>
      <c r="C160" s="37" t="s">
        <v>84</v>
      </c>
      <c r="D160" s="37">
        <v>30</v>
      </c>
      <c r="E160" s="51" t="s">
        <v>75</v>
      </c>
      <c r="F160" s="37" t="str">
        <f t="shared" si="63"/>
        <v>6219K88</v>
      </c>
      <c r="G160" s="37" t="str">
        <f t="shared" si="64"/>
        <v>6219K74</v>
      </c>
      <c r="H160" s="37" t="str">
        <f t="shared" si="65"/>
        <v>6219K87</v>
      </c>
      <c r="I160" s="37" t="str">
        <f t="shared" si="66"/>
        <v>6219K88</v>
      </c>
      <c r="J160" s="56" t="str">
        <f t="shared" si="74"/>
        <v>C-B-750</v>
      </c>
      <c r="K160" s="56" t="str">
        <f t="shared" si="73"/>
        <v>C-B-750</v>
      </c>
      <c r="L160" s="56" t="str">
        <f t="shared" si="73"/>
        <v>C-B-450</v>
      </c>
      <c r="M160" s="56" t="str">
        <f t="shared" si="73"/>
        <v>C-B-450</v>
      </c>
      <c r="N160" s="56" t="str">
        <f t="shared" si="68"/>
        <v>42-085</v>
      </c>
      <c r="O160" s="56" t="str">
        <f t="shared" si="69"/>
        <v>See ENG</v>
      </c>
      <c r="P160" s="56" t="str">
        <f t="shared" si="70"/>
        <v>42-084</v>
      </c>
      <c r="Q160" s="56" t="str">
        <f t="shared" si="71"/>
        <v>42-085</v>
      </c>
      <c r="R160" s="37">
        <v>430</v>
      </c>
      <c r="S160" s="57">
        <v>44.5</v>
      </c>
      <c r="T160" s="57">
        <v>18.7</v>
      </c>
      <c r="U160" s="37">
        <v>1363</v>
      </c>
      <c r="V160" s="37">
        <v>26.4</v>
      </c>
      <c r="W160" s="37">
        <v>47</v>
      </c>
      <c r="X160" s="37">
        <f t="shared" si="60"/>
        <v>30.740769659788064</v>
      </c>
      <c r="Y160" s="37">
        <f t="shared" si="61"/>
        <v>40.213050752928055</v>
      </c>
      <c r="Z160" s="57">
        <v>55</v>
      </c>
      <c r="AA160" s="57">
        <v>95</v>
      </c>
      <c r="AB160" s="37">
        <f t="shared" si="75"/>
        <v>1793</v>
      </c>
      <c r="AC160" s="37">
        <f t="shared" si="76"/>
        <v>0.44107691527658066</v>
      </c>
      <c r="AD160" s="37">
        <f t="shared" si="77"/>
        <v>0.55892308472341934</v>
      </c>
      <c r="AE160" s="37">
        <f t="shared" si="78"/>
        <v>0.57670472891654678</v>
      </c>
      <c r="AF160" s="37">
        <f t="shared" si="62"/>
        <v>0.42329527108345322</v>
      </c>
      <c r="AG160" s="37">
        <v>1</v>
      </c>
      <c r="AH160" s="37">
        <f t="shared" si="79"/>
        <v>456.08745914067731</v>
      </c>
      <c r="AI160" s="37">
        <f t="shared" si="80"/>
        <v>577.94411980669111</v>
      </c>
      <c r="AJ160" s="37">
        <f t="shared" si="81"/>
        <v>334.7634499502318</v>
      </c>
      <c r="AK160" s="37">
        <f t="shared" si="82"/>
        <v>424.20497110239984</v>
      </c>
      <c r="AL160" s="2"/>
    </row>
    <row r="161" spans="2:38" ht="15" x14ac:dyDescent="0.25">
      <c r="B161" s="37" t="s">
        <v>32</v>
      </c>
      <c r="C161" s="37" t="s">
        <v>74</v>
      </c>
      <c r="D161" s="37">
        <v>40</v>
      </c>
      <c r="E161" s="51" t="s">
        <v>75</v>
      </c>
      <c r="F161" s="37" t="str">
        <f t="shared" si="63"/>
        <v>6219K74</v>
      </c>
      <c r="G161" s="37" t="str">
        <f t="shared" si="64"/>
        <v>See ENG</v>
      </c>
      <c r="H161" s="37" t="str">
        <f t="shared" si="65"/>
        <v>6219K87</v>
      </c>
      <c r="I161" s="37" t="str">
        <f t="shared" si="66"/>
        <v>6219K88</v>
      </c>
      <c r="J161" s="56" t="str">
        <f t="shared" si="74"/>
        <v>C-B-750</v>
      </c>
      <c r="K161" s="56" t="str">
        <f t="shared" si="73"/>
        <v>C-B-750</v>
      </c>
      <c r="L161" s="56" t="str">
        <f t="shared" si="73"/>
        <v>C-B-450</v>
      </c>
      <c r="M161" s="56" t="str">
        <f t="shared" si="73"/>
        <v>C-B-750</v>
      </c>
      <c r="N161" s="56" t="str">
        <f t="shared" si="68"/>
        <v>See ENG</v>
      </c>
      <c r="O161" s="56" t="str">
        <f t="shared" si="69"/>
        <v>See ENG</v>
      </c>
      <c r="P161" s="56" t="str">
        <f t="shared" si="70"/>
        <v>42-084</v>
      </c>
      <c r="Q161" s="56" t="str">
        <f t="shared" si="71"/>
        <v>42-085</v>
      </c>
      <c r="R161" s="37">
        <v>570</v>
      </c>
      <c r="S161" s="57">
        <v>44.5</v>
      </c>
      <c r="T161" s="57">
        <v>18.7</v>
      </c>
      <c r="U161" s="37">
        <v>1509</v>
      </c>
      <c r="V161" s="37">
        <v>26.4</v>
      </c>
      <c r="W161" s="37">
        <v>45.7</v>
      </c>
      <c r="X161" s="37">
        <f t="shared" si="60"/>
        <v>31.362481962481962</v>
      </c>
      <c r="Y161" s="37">
        <f t="shared" si="61"/>
        <v>38.297402597402602</v>
      </c>
      <c r="Z161" s="57">
        <v>55</v>
      </c>
      <c r="AA161" s="57">
        <v>95</v>
      </c>
      <c r="AB161" s="37">
        <f t="shared" si="75"/>
        <v>2079</v>
      </c>
      <c r="AC161" s="37">
        <f t="shared" si="76"/>
        <v>0.42977305522760068</v>
      </c>
      <c r="AD161" s="37">
        <f t="shared" si="77"/>
        <v>0.57022694477239932</v>
      </c>
      <c r="AE161" s="37">
        <f t="shared" si="78"/>
        <v>0.59686944634313055</v>
      </c>
      <c r="AF161" s="37">
        <f t="shared" si="62"/>
        <v>0.40313055365686951</v>
      </c>
      <c r="AG161" s="37">
        <v>1</v>
      </c>
      <c r="AH161" s="37">
        <f t="shared" si="79"/>
        <v>533.301765090412</v>
      </c>
      <c r="AI161" s="37">
        <f t="shared" si="80"/>
        <v>707.58981385695643</v>
      </c>
      <c r="AJ161" s="37">
        <f t="shared" si="81"/>
        <v>360.19641672776987</v>
      </c>
      <c r="AK161" s="37">
        <f t="shared" si="82"/>
        <v>477.91200432486181</v>
      </c>
      <c r="AL161" s="2"/>
    </row>
    <row r="162" spans="2:38" ht="15" x14ac:dyDescent="0.25">
      <c r="B162" s="37" t="s">
        <v>32</v>
      </c>
      <c r="C162" s="37" t="s">
        <v>83</v>
      </c>
      <c r="D162" s="37">
        <v>40</v>
      </c>
      <c r="E162" s="51" t="s">
        <v>75</v>
      </c>
      <c r="F162" s="37" t="str">
        <f t="shared" si="63"/>
        <v>6219K88</v>
      </c>
      <c r="G162" s="37" t="str">
        <f t="shared" si="64"/>
        <v>6219K74</v>
      </c>
      <c r="H162" s="37" t="str">
        <f t="shared" si="65"/>
        <v>6219K87</v>
      </c>
      <c r="I162" s="37" t="str">
        <f t="shared" si="66"/>
        <v>6219K88</v>
      </c>
      <c r="J162" s="56" t="str">
        <f t="shared" si="74"/>
        <v>C-B-750</v>
      </c>
      <c r="K162" s="56" t="str">
        <f t="shared" si="73"/>
        <v>C-B-750</v>
      </c>
      <c r="L162" s="56" t="str">
        <f t="shared" si="73"/>
        <v>C-B-450</v>
      </c>
      <c r="M162" s="56" t="str">
        <f t="shared" si="73"/>
        <v>C-B-450</v>
      </c>
      <c r="N162" s="56" t="str">
        <f t="shared" si="68"/>
        <v>42-085</v>
      </c>
      <c r="O162" s="56" t="str">
        <f t="shared" si="69"/>
        <v>See ENG</v>
      </c>
      <c r="P162" s="56" t="str">
        <f t="shared" si="70"/>
        <v>42-084</v>
      </c>
      <c r="Q162" s="56" t="str">
        <f t="shared" si="71"/>
        <v>42-085</v>
      </c>
      <c r="R162" s="37">
        <v>570</v>
      </c>
      <c r="S162" s="57">
        <v>44.5</v>
      </c>
      <c r="T162" s="57">
        <v>18.7</v>
      </c>
      <c r="U162" s="57">
        <v>1281</v>
      </c>
      <c r="V162" s="57">
        <v>26.1</v>
      </c>
      <c r="W162" s="57">
        <v>42.5</v>
      </c>
      <c r="X162" s="37">
        <f t="shared" si="60"/>
        <v>31.76612641815235</v>
      </c>
      <c r="Y162" s="37">
        <f t="shared" si="61"/>
        <v>35.170988654781198</v>
      </c>
      <c r="Z162" s="57">
        <v>55</v>
      </c>
      <c r="AA162" s="57">
        <v>95</v>
      </c>
      <c r="AB162" s="37">
        <f t="shared" si="75"/>
        <v>1851</v>
      </c>
      <c r="AC162" s="37">
        <f t="shared" si="76"/>
        <v>0.42243406512450277</v>
      </c>
      <c r="AD162" s="37">
        <f t="shared" si="77"/>
        <v>0.57756593487549723</v>
      </c>
      <c r="AE162" s="37">
        <f t="shared" si="78"/>
        <v>0.62977906679177686</v>
      </c>
      <c r="AF162" s="37">
        <f t="shared" si="62"/>
        <v>0.37022093320822314</v>
      </c>
      <c r="AG162" s="37">
        <v>1</v>
      </c>
      <c r="AH162" s="37">
        <f t="shared" si="79"/>
        <v>492.44028306437235</v>
      </c>
      <c r="AI162" s="37">
        <f t="shared" si="80"/>
        <v>673.28076956720668</v>
      </c>
      <c r="AJ162" s="37">
        <f t="shared" si="81"/>
        <v>289.48517148108226</v>
      </c>
      <c r="AK162" s="37">
        <f t="shared" si="82"/>
        <v>395.79377588733877</v>
      </c>
      <c r="AL162" s="2"/>
    </row>
    <row r="163" spans="2:38" ht="15" x14ac:dyDescent="0.25">
      <c r="B163" s="37" t="s">
        <v>32</v>
      </c>
      <c r="C163" s="37" t="s">
        <v>84</v>
      </c>
      <c r="D163" s="37">
        <v>40</v>
      </c>
      <c r="E163" s="51" t="s">
        <v>75</v>
      </c>
      <c r="F163" s="37" t="str">
        <f t="shared" si="63"/>
        <v>6219K88</v>
      </c>
      <c r="G163" s="37" t="str">
        <f t="shared" si="64"/>
        <v>6219K74</v>
      </c>
      <c r="H163" s="37" t="str">
        <f t="shared" si="65"/>
        <v>6219K87</v>
      </c>
      <c r="I163" s="37" t="str">
        <f t="shared" si="66"/>
        <v>6219K88</v>
      </c>
      <c r="J163" s="56" t="str">
        <f t="shared" si="74"/>
        <v>C-B-750</v>
      </c>
      <c r="K163" s="56" t="str">
        <f t="shared" si="73"/>
        <v>C-B-750</v>
      </c>
      <c r="L163" s="56" t="str">
        <f t="shared" si="73"/>
        <v>C-B-450</v>
      </c>
      <c r="M163" s="56" t="str">
        <f t="shared" si="73"/>
        <v>C-B-750</v>
      </c>
      <c r="N163" s="56" t="str">
        <f t="shared" si="68"/>
        <v>42-085</v>
      </c>
      <c r="O163" s="56" t="str">
        <f t="shared" si="69"/>
        <v>See ENG</v>
      </c>
      <c r="P163" s="56" t="str">
        <f t="shared" si="70"/>
        <v>42-084</v>
      </c>
      <c r="Q163" s="56" t="str">
        <f t="shared" si="71"/>
        <v>42-085</v>
      </c>
      <c r="R163" s="37">
        <v>570</v>
      </c>
      <c r="S163" s="57">
        <v>44.5</v>
      </c>
      <c r="T163" s="57">
        <v>18.7</v>
      </c>
      <c r="U163" s="37">
        <v>1363</v>
      </c>
      <c r="V163" s="37">
        <v>26.4</v>
      </c>
      <c r="W163" s="37">
        <v>47</v>
      </c>
      <c r="X163" s="37">
        <f t="shared" si="60"/>
        <v>31.737299534402482</v>
      </c>
      <c r="Y163" s="37">
        <f t="shared" si="61"/>
        <v>38.654940506983962</v>
      </c>
      <c r="Z163" s="57">
        <v>55</v>
      </c>
      <c r="AA163" s="57">
        <v>95</v>
      </c>
      <c r="AB163" s="37">
        <f t="shared" si="75"/>
        <v>1933</v>
      </c>
      <c r="AC163" s="37">
        <f t="shared" si="76"/>
        <v>0.42295819028359127</v>
      </c>
      <c r="AD163" s="37">
        <f t="shared" si="77"/>
        <v>0.57704180971640873</v>
      </c>
      <c r="AE163" s="37">
        <f t="shared" si="78"/>
        <v>0.59310588940016884</v>
      </c>
      <c r="AF163" s="37">
        <f t="shared" si="62"/>
        <v>0.40689411059983116</v>
      </c>
      <c r="AG163" s="37">
        <v>1</v>
      </c>
      <c r="AH163" s="37">
        <f t="shared" si="79"/>
        <v>484.91043468144579</v>
      </c>
      <c r="AI163" s="37">
        <f t="shared" si="80"/>
        <v>661.56324952908062</v>
      </c>
      <c r="AJ163" s="37">
        <f t="shared" si="81"/>
        <v>332.66774713673618</v>
      </c>
      <c r="AK163" s="37">
        <f t="shared" si="82"/>
        <v>453.8585686527374</v>
      </c>
      <c r="AL163" s="2"/>
    </row>
    <row r="164" spans="2:38" ht="15" x14ac:dyDescent="0.25">
      <c r="B164" s="37" t="s">
        <v>32</v>
      </c>
      <c r="C164" s="37" t="s">
        <v>74</v>
      </c>
      <c r="D164" s="37">
        <v>50</v>
      </c>
      <c r="E164" s="51" t="s">
        <v>75</v>
      </c>
      <c r="F164" s="37" t="str">
        <f t="shared" si="63"/>
        <v>6219K74</v>
      </c>
      <c r="G164" s="37" t="str">
        <f t="shared" si="64"/>
        <v>See ENG</v>
      </c>
      <c r="H164" s="37" t="str">
        <f t="shared" si="65"/>
        <v>6219K87</v>
      </c>
      <c r="I164" s="37" t="str">
        <f t="shared" si="66"/>
        <v>6219K88</v>
      </c>
      <c r="J164" s="56" t="str">
        <f t="shared" si="74"/>
        <v>C-B-750</v>
      </c>
      <c r="K164" s="56" t="str">
        <f t="shared" si="73"/>
        <v>C-B-1000</v>
      </c>
      <c r="L164" s="56" t="str">
        <f t="shared" si="73"/>
        <v>C-B-450</v>
      </c>
      <c r="M164" s="56" t="str">
        <f t="shared" si="73"/>
        <v>C-B-750</v>
      </c>
      <c r="N164" s="56" t="str">
        <f t="shared" si="68"/>
        <v>See ENG</v>
      </c>
      <c r="O164" s="56" t="str">
        <f t="shared" si="69"/>
        <v>See ENG</v>
      </c>
      <c r="P164" s="56" t="str">
        <f t="shared" si="70"/>
        <v>42-084</v>
      </c>
      <c r="Q164" s="56" t="str">
        <f t="shared" si="71"/>
        <v>42-085</v>
      </c>
      <c r="R164" s="37">
        <v>650</v>
      </c>
      <c r="S164" s="57">
        <v>44.5</v>
      </c>
      <c r="T164" s="57">
        <v>18.7</v>
      </c>
      <c r="U164" s="37">
        <v>1509</v>
      </c>
      <c r="V164" s="37">
        <v>26.4</v>
      </c>
      <c r="W164" s="37">
        <v>45.7</v>
      </c>
      <c r="X164" s="37">
        <f t="shared" si="60"/>
        <v>31.84928207503474</v>
      </c>
      <c r="Y164" s="37">
        <f t="shared" si="61"/>
        <v>37.571236683649836</v>
      </c>
      <c r="Z164" s="57">
        <v>55</v>
      </c>
      <c r="AA164" s="57">
        <v>95</v>
      </c>
      <c r="AB164" s="37">
        <f t="shared" si="75"/>
        <v>2159</v>
      </c>
      <c r="AC164" s="37">
        <f t="shared" si="76"/>
        <v>0.42092214409027751</v>
      </c>
      <c r="AD164" s="37">
        <f t="shared" si="77"/>
        <v>0.57907785590972249</v>
      </c>
      <c r="AE164" s="37">
        <f t="shared" si="78"/>
        <v>0.60451329806684384</v>
      </c>
      <c r="AF164" s="37">
        <f t="shared" si="62"/>
        <v>0.39548670193315616</v>
      </c>
      <c r="AG164" s="37">
        <v>1</v>
      </c>
      <c r="AH164" s="37">
        <f t="shared" si="79"/>
        <v>549.36409944174943</v>
      </c>
      <c r="AI164" s="37">
        <f t="shared" si="80"/>
        <v>755.78011108456644</v>
      </c>
      <c r="AJ164" s="37">
        <f t="shared" si="81"/>
        <v>359.40680964915975</v>
      </c>
      <c r="AK164" s="37">
        <f t="shared" si="82"/>
        <v>494.44897982452443</v>
      </c>
      <c r="AL164" s="2"/>
    </row>
    <row r="165" spans="2:38" ht="15" x14ac:dyDescent="0.25">
      <c r="B165" s="37" t="s">
        <v>32</v>
      </c>
      <c r="C165" s="37" t="s">
        <v>83</v>
      </c>
      <c r="D165" s="37">
        <v>50</v>
      </c>
      <c r="E165" s="51" t="s">
        <v>75</v>
      </c>
      <c r="F165" s="37" t="str">
        <f t="shared" si="63"/>
        <v>6219K88</v>
      </c>
      <c r="G165" s="37" t="str">
        <f t="shared" si="64"/>
        <v>See ENG</v>
      </c>
      <c r="H165" s="37" t="str">
        <f t="shared" si="65"/>
        <v>6219K87</v>
      </c>
      <c r="I165" s="37" t="str">
        <f t="shared" si="66"/>
        <v>6219K88</v>
      </c>
      <c r="J165" s="56" t="str">
        <f t="shared" si="74"/>
        <v>C-B-750</v>
      </c>
      <c r="K165" s="56" t="str">
        <f t="shared" si="73"/>
        <v>C-B-750</v>
      </c>
      <c r="L165" s="56" t="str">
        <f t="shared" si="73"/>
        <v>C-B-450</v>
      </c>
      <c r="M165" s="56" t="str">
        <f t="shared" si="73"/>
        <v>C-B-450</v>
      </c>
      <c r="N165" s="56" t="str">
        <f t="shared" si="68"/>
        <v>42-085</v>
      </c>
      <c r="O165" s="56" t="str">
        <f t="shared" si="69"/>
        <v>See ENG</v>
      </c>
      <c r="P165" s="56" t="str">
        <f t="shared" si="70"/>
        <v>42-084</v>
      </c>
      <c r="Q165" s="56" t="str">
        <f t="shared" si="71"/>
        <v>42-085</v>
      </c>
      <c r="R165" s="37">
        <v>650</v>
      </c>
      <c r="S165" s="57">
        <v>44.5</v>
      </c>
      <c r="T165" s="57">
        <v>18.7</v>
      </c>
      <c r="U165" s="57">
        <v>1281</v>
      </c>
      <c r="V165" s="57">
        <v>26.1</v>
      </c>
      <c r="W165" s="57">
        <v>42.5</v>
      </c>
      <c r="X165" s="37">
        <f t="shared" si="60"/>
        <v>32.293682030036251</v>
      </c>
      <c r="Y165" s="37">
        <f t="shared" si="61"/>
        <v>34.488606939409635</v>
      </c>
      <c r="Z165" s="57">
        <v>55</v>
      </c>
      <c r="AA165" s="57">
        <v>95</v>
      </c>
      <c r="AB165" s="37">
        <f t="shared" si="75"/>
        <v>1931</v>
      </c>
      <c r="AC165" s="37">
        <f t="shared" si="76"/>
        <v>0.41284214490843174</v>
      </c>
      <c r="AD165" s="37">
        <f t="shared" si="77"/>
        <v>0.58715785509156826</v>
      </c>
      <c r="AE165" s="37">
        <f t="shared" si="78"/>
        <v>0.63696203221674064</v>
      </c>
      <c r="AF165" s="37">
        <f t="shared" si="62"/>
        <v>0.36303796778325931</v>
      </c>
      <c r="AG165" s="37">
        <v>1</v>
      </c>
      <c r="AH165" s="37">
        <f t="shared" si="79"/>
        <v>507.78497397039968</v>
      </c>
      <c r="AI165" s="37">
        <f t="shared" si="80"/>
        <v>722.18871024012651</v>
      </c>
      <c r="AJ165" s="37">
        <f t="shared" si="81"/>
        <v>289.41320784778191</v>
      </c>
      <c r="AK165" s="37">
        <f t="shared" si="82"/>
        <v>411.61310794169179</v>
      </c>
      <c r="AL165" s="2"/>
    </row>
    <row r="166" spans="2:38" ht="15" x14ac:dyDescent="0.25">
      <c r="B166" s="37" t="s">
        <v>32</v>
      </c>
      <c r="C166" s="37" t="s">
        <v>84</v>
      </c>
      <c r="D166" s="37">
        <v>50</v>
      </c>
      <c r="E166" s="51" t="s">
        <v>75</v>
      </c>
      <c r="F166" s="37" t="str">
        <f t="shared" si="63"/>
        <v>6219K88</v>
      </c>
      <c r="G166" s="37" t="str">
        <f t="shared" si="64"/>
        <v>See ENG</v>
      </c>
      <c r="H166" s="37" t="str">
        <f t="shared" si="65"/>
        <v>6219K87</v>
      </c>
      <c r="I166" s="37" t="str">
        <f t="shared" si="66"/>
        <v>6219K88</v>
      </c>
      <c r="J166" s="56" t="str">
        <f t="shared" si="74"/>
        <v>C-B-750</v>
      </c>
      <c r="K166" s="56" t="str">
        <f t="shared" si="73"/>
        <v>C-B-750</v>
      </c>
      <c r="L166" s="56" t="str">
        <f t="shared" si="73"/>
        <v>C-B-450</v>
      </c>
      <c r="M166" s="56" t="str">
        <f t="shared" si="73"/>
        <v>C-B-750</v>
      </c>
      <c r="N166" s="56" t="str">
        <f t="shared" si="68"/>
        <v>42-085</v>
      </c>
      <c r="O166" s="56" t="str">
        <f t="shared" si="69"/>
        <v>See ENG</v>
      </c>
      <c r="P166" s="56" t="str">
        <f t="shared" si="70"/>
        <v>42-084</v>
      </c>
      <c r="Q166" s="56" t="str">
        <f t="shared" si="71"/>
        <v>42-085</v>
      </c>
      <c r="R166" s="37">
        <v>650</v>
      </c>
      <c r="S166" s="57">
        <v>44.5</v>
      </c>
      <c r="T166" s="57">
        <v>18.7</v>
      </c>
      <c r="U166" s="37">
        <v>1363</v>
      </c>
      <c r="V166" s="37">
        <v>26.4</v>
      </c>
      <c r="W166" s="37">
        <v>47</v>
      </c>
      <c r="X166" s="37">
        <f t="shared" si="60"/>
        <v>32.244510680576255</v>
      </c>
      <c r="Y166" s="37">
        <f t="shared" si="61"/>
        <v>37.86189766517635</v>
      </c>
      <c r="Z166" s="57">
        <v>55</v>
      </c>
      <c r="AA166" s="57">
        <v>95</v>
      </c>
      <c r="AB166" s="37">
        <f t="shared" si="75"/>
        <v>2013</v>
      </c>
      <c r="AC166" s="37">
        <f t="shared" si="76"/>
        <v>0.4137361694440681</v>
      </c>
      <c r="AD166" s="37">
        <f t="shared" si="77"/>
        <v>0.5862638305559319</v>
      </c>
      <c r="AE166" s="37">
        <f t="shared" si="78"/>
        <v>0.60145370878761739</v>
      </c>
      <c r="AF166" s="37">
        <f t="shared" si="62"/>
        <v>0.39854629121238261</v>
      </c>
      <c r="AG166" s="37">
        <v>1</v>
      </c>
      <c r="AH166" s="37">
        <f t="shared" si="79"/>
        <v>500.92126813986607</v>
      </c>
      <c r="AI166" s="37">
        <f t="shared" si="80"/>
        <v>709.80504764960779</v>
      </c>
      <c r="AJ166" s="37">
        <f t="shared" si="81"/>
        <v>331.92964095104304</v>
      </c>
      <c r="AK166" s="37">
        <f t="shared" si="82"/>
        <v>470.34404325948316</v>
      </c>
      <c r="AL166" s="2"/>
    </row>
    <row r="167" spans="2:38" ht="15" x14ac:dyDescent="0.25">
      <c r="B167" s="37" t="s">
        <v>32</v>
      </c>
      <c r="C167" s="37" t="s">
        <v>74</v>
      </c>
      <c r="D167" s="37">
        <v>60</v>
      </c>
      <c r="E167" s="51" t="s">
        <v>75</v>
      </c>
      <c r="F167" s="37" t="str">
        <f t="shared" si="63"/>
        <v>6219K74</v>
      </c>
      <c r="G167" s="37" t="str">
        <f t="shared" si="64"/>
        <v>See ENG</v>
      </c>
      <c r="H167" s="37" t="str">
        <f t="shared" si="65"/>
        <v>6219K87</v>
      </c>
      <c r="I167" s="37" t="str">
        <f t="shared" si="66"/>
        <v>6219K74</v>
      </c>
      <c r="J167" s="56" t="str">
        <f t="shared" si="74"/>
        <v>C-B-750</v>
      </c>
      <c r="K167" s="56" t="str">
        <f t="shared" si="73"/>
        <v>C-B-1000</v>
      </c>
      <c r="L167" s="56" t="str">
        <f t="shared" si="73"/>
        <v>C-B-450</v>
      </c>
      <c r="M167" s="56" t="str">
        <f t="shared" si="73"/>
        <v>C-B-750</v>
      </c>
      <c r="N167" s="56" t="str">
        <f t="shared" si="68"/>
        <v>See ENG</v>
      </c>
      <c r="O167" s="56" t="str">
        <f t="shared" si="69"/>
        <v>See ENG</v>
      </c>
      <c r="P167" s="56" t="str">
        <f t="shared" si="70"/>
        <v>42-084</v>
      </c>
      <c r="Q167" s="56" t="str">
        <f t="shared" si="71"/>
        <v>See ENG</v>
      </c>
      <c r="R167" s="37">
        <v>912</v>
      </c>
      <c r="S167" s="57">
        <v>44.5</v>
      </c>
      <c r="T167" s="57">
        <v>18.7</v>
      </c>
      <c r="U167" s="37">
        <v>1509</v>
      </c>
      <c r="V167" s="37">
        <v>26.4</v>
      </c>
      <c r="W167" s="37">
        <v>45.7</v>
      </c>
      <c r="X167" s="37">
        <f t="shared" si="60"/>
        <v>33.2183395291202</v>
      </c>
      <c r="Y167" s="37">
        <f t="shared" si="61"/>
        <v>35.528996282527878</v>
      </c>
      <c r="Z167" s="57">
        <v>55</v>
      </c>
      <c r="AA167" s="57">
        <v>95</v>
      </c>
      <c r="AB167" s="37">
        <f t="shared" si="75"/>
        <v>2421</v>
      </c>
      <c r="AC167" s="37">
        <f t="shared" si="76"/>
        <v>0.39603019037963272</v>
      </c>
      <c r="AD167" s="37">
        <f t="shared" si="77"/>
        <v>0.60396980962036728</v>
      </c>
      <c r="AE167" s="37">
        <f t="shared" si="78"/>
        <v>0.6260105654470749</v>
      </c>
      <c r="AF167" s="37">
        <f t="shared" si="62"/>
        <v>0.37398943455292505</v>
      </c>
      <c r="AG167" s="37">
        <v>1</v>
      </c>
      <c r="AH167" s="37">
        <f t="shared" si="79"/>
        <v>600.21210094448679</v>
      </c>
      <c r="AI167" s="37">
        <f t="shared" si="80"/>
        <v>915.35947800288147</v>
      </c>
      <c r="AJ167" s="37">
        <f t="shared" si="81"/>
        <v>358.57698996460391</v>
      </c>
      <c r="AK167" s="37">
        <f t="shared" si="82"/>
        <v>546.85143108802765</v>
      </c>
      <c r="AL167" s="2"/>
    </row>
    <row r="168" spans="2:38" ht="15" x14ac:dyDescent="0.25">
      <c r="B168" s="37" t="s">
        <v>32</v>
      </c>
      <c r="C168" s="37" t="s">
        <v>83</v>
      </c>
      <c r="D168" s="37">
        <v>60</v>
      </c>
      <c r="E168" s="51" t="s">
        <v>75</v>
      </c>
      <c r="F168" s="37" t="str">
        <f t="shared" si="63"/>
        <v>6219K74</v>
      </c>
      <c r="G168" s="37" t="str">
        <f t="shared" si="64"/>
        <v>See ENG</v>
      </c>
      <c r="H168" s="37" t="str">
        <f t="shared" si="65"/>
        <v>6219K87</v>
      </c>
      <c r="I168" s="37" t="str">
        <f t="shared" si="66"/>
        <v>6219K88</v>
      </c>
      <c r="J168" s="56" t="str">
        <f t="shared" si="74"/>
        <v>C-B-750</v>
      </c>
      <c r="K168" s="56" t="str">
        <f t="shared" ref="K168:K172" si="83">VLOOKUP(AI168,$AM$15:$AQ$18,3,TRUE)</f>
        <v>C-B-1000</v>
      </c>
      <c r="L168" s="56" t="str">
        <f t="shared" ref="L168:L172" si="84">VLOOKUP(AJ168,$AM$15:$AQ$18,3,TRUE)</f>
        <v>C-B-450</v>
      </c>
      <c r="M168" s="56" t="str">
        <f t="shared" ref="M168:M172" si="85">VLOOKUP(AK168,$AM$15:$AQ$18,3,TRUE)</f>
        <v>C-B-750</v>
      </c>
      <c r="N168" s="56" t="str">
        <f t="shared" si="68"/>
        <v>See ENG</v>
      </c>
      <c r="O168" s="56" t="str">
        <f t="shared" si="69"/>
        <v>See ENG</v>
      </c>
      <c r="P168" s="56" t="str">
        <f t="shared" si="70"/>
        <v>42-084</v>
      </c>
      <c r="Q168" s="56" t="str">
        <f t="shared" si="71"/>
        <v>42-085</v>
      </c>
      <c r="R168" s="37">
        <v>912</v>
      </c>
      <c r="S168" s="57">
        <v>44.5</v>
      </c>
      <c r="T168" s="57">
        <v>18.7</v>
      </c>
      <c r="U168" s="57">
        <v>1281</v>
      </c>
      <c r="V168" s="57">
        <v>26.1</v>
      </c>
      <c r="W168" s="57">
        <v>42.5</v>
      </c>
      <c r="X168" s="37">
        <f t="shared" si="60"/>
        <v>33.751983584131331</v>
      </c>
      <c r="Y168" s="37">
        <f t="shared" si="61"/>
        <v>32.602325581395348</v>
      </c>
      <c r="Z168" s="57">
        <v>55</v>
      </c>
      <c r="AA168" s="57">
        <v>95</v>
      </c>
      <c r="AB168" s="37">
        <f t="shared" si="75"/>
        <v>2193</v>
      </c>
      <c r="AC168" s="37">
        <f t="shared" si="76"/>
        <v>0.38632757119761219</v>
      </c>
      <c r="AD168" s="37">
        <f t="shared" si="77"/>
        <v>0.61367242880238781</v>
      </c>
      <c r="AE168" s="37">
        <f t="shared" si="78"/>
        <v>0.65681762545899636</v>
      </c>
      <c r="AF168" s="37">
        <f t="shared" si="62"/>
        <v>0.34318237454100364</v>
      </c>
      <c r="AG168" s="37">
        <v>1</v>
      </c>
      <c r="AH168" s="37">
        <f t="shared" si="79"/>
        <v>556.46664021364188</v>
      </c>
      <c r="AI168" s="37">
        <f t="shared" si="80"/>
        <v>883.93441241793721</v>
      </c>
      <c r="AJ168" s="37">
        <f t="shared" si="81"/>
        <v>290.74972342272167</v>
      </c>
      <c r="AK168" s="37">
        <f t="shared" si="82"/>
        <v>461.84922394569935</v>
      </c>
      <c r="AL168" s="2"/>
    </row>
    <row r="169" spans="2:38" ht="15" x14ac:dyDescent="0.25">
      <c r="B169" s="37" t="s">
        <v>32</v>
      </c>
      <c r="C169" s="37" t="s">
        <v>84</v>
      </c>
      <c r="D169" s="37">
        <v>60</v>
      </c>
      <c r="E169" s="51" t="s">
        <v>75</v>
      </c>
      <c r="F169" s="37" t="str">
        <f t="shared" si="63"/>
        <v>6219K74</v>
      </c>
      <c r="G169" s="37" t="str">
        <f t="shared" si="64"/>
        <v>See ENG</v>
      </c>
      <c r="H169" s="37" t="str">
        <f t="shared" si="65"/>
        <v>6219K87</v>
      </c>
      <c r="I169" s="37" t="str">
        <f t="shared" si="66"/>
        <v>6219K74</v>
      </c>
      <c r="J169" s="56" t="str">
        <f t="shared" si="74"/>
        <v>C-B-750</v>
      </c>
      <c r="K169" s="56" t="str">
        <f t="shared" si="83"/>
        <v>C-B-1000</v>
      </c>
      <c r="L169" s="56" t="str">
        <f t="shared" si="84"/>
        <v>C-B-450</v>
      </c>
      <c r="M169" s="56" t="str">
        <f t="shared" si="85"/>
        <v>C-B-750</v>
      </c>
      <c r="N169" s="56" t="str">
        <f t="shared" si="68"/>
        <v>See ENG</v>
      </c>
      <c r="O169" s="56" t="str">
        <f t="shared" si="69"/>
        <v>See ENG</v>
      </c>
      <c r="P169" s="56" t="str">
        <f t="shared" si="70"/>
        <v>42-084</v>
      </c>
      <c r="Q169" s="56" t="str">
        <f t="shared" si="71"/>
        <v>See ENG</v>
      </c>
      <c r="R169" s="37">
        <v>912</v>
      </c>
      <c r="S169" s="57">
        <v>44.5</v>
      </c>
      <c r="T169" s="57">
        <v>18.7</v>
      </c>
      <c r="U169" s="37">
        <v>1363</v>
      </c>
      <c r="V169" s="37">
        <v>26.4</v>
      </c>
      <c r="W169" s="37">
        <v>47</v>
      </c>
      <c r="X169" s="37">
        <f t="shared" si="60"/>
        <v>33.655912087912085</v>
      </c>
      <c r="Y169" s="37">
        <f t="shared" si="61"/>
        <v>35.655120879120879</v>
      </c>
      <c r="Z169" s="57">
        <v>55</v>
      </c>
      <c r="AA169" s="57">
        <v>95</v>
      </c>
      <c r="AB169" s="37">
        <f t="shared" si="75"/>
        <v>2275</v>
      </c>
      <c r="AC169" s="37">
        <f t="shared" si="76"/>
        <v>0.38807432567432576</v>
      </c>
      <c r="AD169" s="37">
        <f t="shared" si="77"/>
        <v>0.61192567432567424</v>
      </c>
      <c r="AE169" s="37">
        <f t="shared" si="78"/>
        <v>0.62468293811451714</v>
      </c>
      <c r="AF169" s="37">
        <f t="shared" si="62"/>
        <v>0.37531706188548292</v>
      </c>
      <c r="AG169" s="37">
        <v>1</v>
      </c>
      <c r="AH169" s="37">
        <f t="shared" si="79"/>
        <v>551.51325767958383</v>
      </c>
      <c r="AI169" s="37">
        <f t="shared" si="80"/>
        <v>869.64042653094282</v>
      </c>
      <c r="AJ169" s="37">
        <f t="shared" si="81"/>
        <v>331.35583322950743</v>
      </c>
      <c r="AK169" s="37">
        <f t="shared" si="82"/>
        <v>522.49048255996627</v>
      </c>
      <c r="AL169" s="2"/>
    </row>
    <row r="170" spans="2:38" ht="15" x14ac:dyDescent="0.25">
      <c r="B170" s="37" t="s">
        <v>32</v>
      </c>
      <c r="C170" s="37" t="s">
        <v>74</v>
      </c>
      <c r="D170" s="37">
        <v>75</v>
      </c>
      <c r="E170" s="51" t="s">
        <v>75</v>
      </c>
      <c r="F170" s="37" t="str">
        <f t="shared" si="63"/>
        <v>6219K74</v>
      </c>
      <c r="G170" s="37" t="str">
        <f t="shared" si="64"/>
        <v>See ENG</v>
      </c>
      <c r="H170" s="37" t="str">
        <f t="shared" si="65"/>
        <v>6219K87</v>
      </c>
      <c r="I170" s="37" t="str">
        <f t="shared" si="66"/>
        <v>6219K74</v>
      </c>
      <c r="J170" s="56" t="str">
        <f t="shared" si="74"/>
        <v>C-B-750</v>
      </c>
      <c r="K170" s="56" t="str">
        <f t="shared" si="83"/>
        <v>C-B-1000</v>
      </c>
      <c r="L170" s="56" t="str">
        <f t="shared" si="84"/>
        <v>C-B-450</v>
      </c>
      <c r="M170" s="56" t="str">
        <f t="shared" si="85"/>
        <v>C-B-750</v>
      </c>
      <c r="N170" s="56" t="str">
        <f t="shared" si="68"/>
        <v>See ENG</v>
      </c>
      <c r="O170" s="56" t="str">
        <f t="shared" si="69"/>
        <v>See ENG</v>
      </c>
      <c r="P170" s="56" t="str">
        <f t="shared" si="70"/>
        <v>42-084</v>
      </c>
      <c r="Q170" s="56" t="str">
        <f t="shared" si="71"/>
        <v>See ENG</v>
      </c>
      <c r="R170" s="37">
        <v>955</v>
      </c>
      <c r="S170" s="57">
        <v>44.5</v>
      </c>
      <c r="T170" s="57">
        <v>18.7</v>
      </c>
      <c r="U170" s="37">
        <v>1509</v>
      </c>
      <c r="V170" s="37">
        <v>26.4</v>
      </c>
      <c r="W170" s="37">
        <v>45.7</v>
      </c>
      <c r="X170" s="37">
        <f t="shared" si="60"/>
        <v>33.415219155844156</v>
      </c>
      <c r="Y170" s="37">
        <f t="shared" si="61"/>
        <v>35.235308441558445</v>
      </c>
      <c r="Z170" s="57">
        <v>55</v>
      </c>
      <c r="AA170" s="57">
        <v>95</v>
      </c>
      <c r="AB170" s="37">
        <f t="shared" si="75"/>
        <v>2464</v>
      </c>
      <c r="AC170" s="37">
        <f t="shared" si="76"/>
        <v>0.39245056080283358</v>
      </c>
      <c r="AD170" s="37">
        <f t="shared" si="77"/>
        <v>0.60754943919716642</v>
      </c>
      <c r="AE170" s="37">
        <f t="shared" si="78"/>
        <v>0.62910201640464791</v>
      </c>
      <c r="AF170" s="37">
        <f t="shared" si="62"/>
        <v>0.37089798359535203</v>
      </c>
      <c r="AG170" s="37">
        <v>1</v>
      </c>
      <c r="AH170" s="37">
        <f t="shared" si="79"/>
        <v>608.34050604144659</v>
      </c>
      <c r="AI170" s="37">
        <f t="shared" si="80"/>
        <v>941.76686237960575</v>
      </c>
      <c r="AJ170" s="37">
        <f t="shared" si="81"/>
        <v>358.65767577673529</v>
      </c>
      <c r="AK170" s="37">
        <f t="shared" si="82"/>
        <v>555.23495580221208</v>
      </c>
      <c r="AL170" s="2"/>
    </row>
    <row r="171" spans="2:38" ht="15" x14ac:dyDescent="0.25">
      <c r="B171" s="37" t="s">
        <v>32</v>
      </c>
      <c r="C171" s="37" t="s">
        <v>83</v>
      </c>
      <c r="D171" s="37">
        <v>75</v>
      </c>
      <c r="E171" s="51" t="s">
        <v>75</v>
      </c>
      <c r="F171" s="37" t="str">
        <f t="shared" si="63"/>
        <v>6219K74</v>
      </c>
      <c r="G171" s="37" t="str">
        <f t="shared" si="64"/>
        <v>See ENG</v>
      </c>
      <c r="H171" s="37" t="str">
        <f t="shared" si="65"/>
        <v>6219K87</v>
      </c>
      <c r="I171" s="37" t="str">
        <f t="shared" si="66"/>
        <v>6219K88</v>
      </c>
      <c r="J171" s="56" t="str">
        <f t="shared" si="74"/>
        <v>C-B-750</v>
      </c>
      <c r="K171" s="56" t="str">
        <f t="shared" si="83"/>
        <v>C-B-1000</v>
      </c>
      <c r="L171" s="56" t="str">
        <f t="shared" si="84"/>
        <v>C-B-450</v>
      </c>
      <c r="M171" s="56" t="str">
        <f t="shared" si="85"/>
        <v>C-B-750</v>
      </c>
      <c r="N171" s="56" t="str">
        <f t="shared" si="68"/>
        <v>See ENG</v>
      </c>
      <c r="O171" s="56" t="str">
        <f t="shared" si="69"/>
        <v>See ENG</v>
      </c>
      <c r="P171" s="56" t="str">
        <f t="shared" si="70"/>
        <v>42-084</v>
      </c>
      <c r="Q171" s="56" t="str">
        <f t="shared" si="71"/>
        <v>42-085</v>
      </c>
      <c r="R171" s="37">
        <v>955</v>
      </c>
      <c r="S171" s="57">
        <v>44.5</v>
      </c>
      <c r="T171" s="57">
        <v>18.7</v>
      </c>
      <c r="U171" s="57">
        <v>1281</v>
      </c>
      <c r="V171" s="57">
        <v>26.1</v>
      </c>
      <c r="W171" s="57">
        <v>42.5</v>
      </c>
      <c r="X171" s="37">
        <f t="shared" si="60"/>
        <v>33.95867620751342</v>
      </c>
      <c r="Y171" s="37">
        <f t="shared" si="61"/>
        <v>32.334973166368513</v>
      </c>
      <c r="Z171" s="57">
        <v>55</v>
      </c>
      <c r="AA171" s="57">
        <v>95</v>
      </c>
      <c r="AB171" s="37">
        <f t="shared" si="75"/>
        <v>2236</v>
      </c>
      <c r="AC171" s="37">
        <f t="shared" si="76"/>
        <v>0.38256952349975604</v>
      </c>
      <c r="AD171" s="37">
        <f t="shared" si="77"/>
        <v>0.61743047650024396</v>
      </c>
      <c r="AE171" s="37">
        <f t="shared" si="78"/>
        <v>0.6596318614066472</v>
      </c>
      <c r="AF171" s="37">
        <f t="shared" si="62"/>
        <v>0.3403681385933528</v>
      </c>
      <c r="AG171" s="37">
        <v>1</v>
      </c>
      <c r="AH171" s="37">
        <f t="shared" si="79"/>
        <v>564.2658848764454</v>
      </c>
      <c r="AI171" s="37">
        <f t="shared" si="80"/>
        <v>910.67095722881777</v>
      </c>
      <c r="AJ171" s="37">
        <f t="shared" si="81"/>
        <v>291.15956966900904</v>
      </c>
      <c r="AK171" s="37">
        <f t="shared" si="82"/>
        <v>469.90358822572784</v>
      </c>
      <c r="AL171" s="2"/>
    </row>
    <row r="172" spans="2:38" ht="15" x14ac:dyDescent="0.25">
      <c r="B172" s="37" t="s">
        <v>32</v>
      </c>
      <c r="C172" s="37" t="s">
        <v>84</v>
      </c>
      <c r="D172" s="37">
        <v>75</v>
      </c>
      <c r="E172" s="51" t="s">
        <v>75</v>
      </c>
      <c r="F172" s="37" t="str">
        <f t="shared" si="63"/>
        <v>6219K74</v>
      </c>
      <c r="G172" s="37" t="str">
        <f t="shared" si="64"/>
        <v>See ENG</v>
      </c>
      <c r="H172" s="37" t="str">
        <f t="shared" si="65"/>
        <v>6219K87</v>
      </c>
      <c r="I172" s="37" t="str">
        <f t="shared" si="66"/>
        <v>6219K74</v>
      </c>
      <c r="J172" s="56" t="str">
        <f t="shared" si="74"/>
        <v>C-B-750</v>
      </c>
      <c r="K172" s="56" t="str">
        <f t="shared" si="83"/>
        <v>C-B-1000</v>
      </c>
      <c r="L172" s="56" t="str">
        <f t="shared" si="84"/>
        <v>C-B-450</v>
      </c>
      <c r="M172" s="56" t="str">
        <f t="shared" si="85"/>
        <v>C-B-750</v>
      </c>
      <c r="N172" s="56" t="str">
        <f t="shared" si="68"/>
        <v>See ENG</v>
      </c>
      <c r="O172" s="56" t="str">
        <f t="shared" si="69"/>
        <v>See ENG</v>
      </c>
      <c r="P172" s="56" t="str">
        <f t="shared" si="70"/>
        <v>42-084</v>
      </c>
      <c r="Q172" s="56" t="str">
        <f t="shared" si="71"/>
        <v>See ENG</v>
      </c>
      <c r="R172" s="37">
        <v>955</v>
      </c>
      <c r="S172" s="57">
        <v>44.5</v>
      </c>
      <c r="T172" s="57">
        <v>18.7</v>
      </c>
      <c r="U172" s="37">
        <v>1363</v>
      </c>
      <c r="V172" s="37">
        <v>26.4</v>
      </c>
      <c r="W172" s="37">
        <v>47</v>
      </c>
      <c r="X172" s="37">
        <f t="shared" si="60"/>
        <v>33.857075064710955</v>
      </c>
      <c r="Y172" s="37">
        <f t="shared" si="61"/>
        <v>35.340595340811042</v>
      </c>
      <c r="Z172" s="57">
        <v>55</v>
      </c>
      <c r="AA172" s="57">
        <v>95</v>
      </c>
      <c r="AB172" s="37">
        <f t="shared" si="75"/>
        <v>2318</v>
      </c>
      <c r="AC172" s="37">
        <f t="shared" si="76"/>
        <v>0.38441681700525532</v>
      </c>
      <c r="AD172" s="37">
        <f t="shared" si="77"/>
        <v>0.61558318299474468</v>
      </c>
      <c r="AE172" s="37">
        <f t="shared" si="78"/>
        <v>0.6279937332546206</v>
      </c>
      <c r="AF172" s="37">
        <f t="shared" si="62"/>
        <v>0.3720062667453794</v>
      </c>
      <c r="AG172" s="37">
        <v>1</v>
      </c>
      <c r="AH172" s="37">
        <f t="shared" si="79"/>
        <v>559.59151402173961</v>
      </c>
      <c r="AI172" s="37">
        <f t="shared" si="80"/>
        <v>896.097959662471</v>
      </c>
      <c r="AJ172" s="37">
        <f t="shared" si="81"/>
        <v>331.48666779644225</v>
      </c>
      <c r="AK172" s="37">
        <f t="shared" si="82"/>
        <v>530.82385851934725</v>
      </c>
      <c r="AL172" s="2"/>
    </row>
    <row r="173" spans="2:38" x14ac:dyDescent="0.2">
      <c r="B173" s="33"/>
      <c r="C173" s="33"/>
      <c r="D173" s="33"/>
      <c r="E173" s="33"/>
      <c r="J173" s="33"/>
      <c r="K173" s="33"/>
      <c r="L173" s="33"/>
      <c r="M173" s="33"/>
      <c r="N173" s="33"/>
      <c r="O173" s="33"/>
      <c r="P173" s="33"/>
      <c r="Q173" s="33"/>
      <c r="R173" s="33"/>
      <c r="S173" s="33"/>
      <c r="T173" s="33"/>
      <c r="U173" s="33"/>
      <c r="V173" s="33"/>
      <c r="W173" s="33"/>
      <c r="X173" s="33"/>
      <c r="Y173" s="33"/>
      <c r="Z173" s="33"/>
      <c r="AA173" s="33"/>
      <c r="AB173" s="33"/>
      <c r="AC173" s="33"/>
      <c r="AD173" s="33"/>
      <c r="AE173" s="33"/>
      <c r="AF173" s="33"/>
      <c r="AG173" s="33"/>
      <c r="AH173" s="33"/>
      <c r="AI173" s="33"/>
      <c r="AJ173" s="33"/>
      <c r="AK173" s="33"/>
      <c r="AL173" s="2"/>
    </row>
    <row r="174" spans="2:38" x14ac:dyDescent="0.2">
      <c r="G174" s="33"/>
      <c r="H174" s="33"/>
      <c r="I174" s="33"/>
      <c r="J174" s="33"/>
      <c r="K174" s="33"/>
      <c r="L174" s="33"/>
      <c r="M174" s="33"/>
      <c r="N174" s="33"/>
      <c r="O174" s="33"/>
      <c r="P174" s="33"/>
      <c r="Q174" s="33"/>
      <c r="R174" s="33"/>
      <c r="S174" s="33"/>
      <c r="T174" s="33"/>
      <c r="U174" s="33"/>
      <c r="V174" s="33"/>
      <c r="W174" s="33"/>
      <c r="X174" s="33"/>
      <c r="Y174" s="33"/>
      <c r="Z174" s="33"/>
      <c r="AA174" s="33"/>
      <c r="AB174" s="33"/>
      <c r="AC174" s="33"/>
      <c r="AD174" s="33"/>
      <c r="AE174" s="33"/>
      <c r="AF174" s="33"/>
      <c r="AG174" s="33"/>
      <c r="AH174" s="33"/>
      <c r="AI174" s="2"/>
    </row>
    <row r="175" spans="2:38" x14ac:dyDescent="0.2">
      <c r="B175" s="33"/>
      <c r="E175" s="2"/>
      <c r="F175" s="2"/>
      <c r="G175" s="2"/>
      <c r="H175" s="2"/>
      <c r="I175" s="2"/>
      <c r="J175" s="2"/>
      <c r="K175" s="2"/>
      <c r="L175" s="2"/>
      <c r="M175" s="2"/>
      <c r="N175" s="2"/>
      <c r="O175" s="2"/>
      <c r="P175" s="2"/>
      <c r="Q175" s="2"/>
      <c r="R175" s="2"/>
      <c r="S175" s="2"/>
      <c r="T175" s="2"/>
      <c r="U175" s="2"/>
      <c r="V175" s="2"/>
      <c r="W175" s="2"/>
      <c r="X175" s="2"/>
      <c r="Y175" s="2"/>
      <c r="Z175" s="2"/>
      <c r="AA175" s="2"/>
      <c r="AB175" s="2"/>
      <c r="AC175" s="2"/>
      <c r="AD175" s="2"/>
      <c r="AE175" s="2"/>
      <c r="AF175" s="2"/>
      <c r="AG175" s="2"/>
      <c r="AH175" s="2"/>
      <c r="AI175" s="2"/>
      <c r="AJ175" s="2"/>
      <c r="AK175" s="2"/>
      <c r="AL175" s="2"/>
    </row>
    <row r="176" spans="2:38" x14ac:dyDescent="0.2">
      <c r="B176" s="2"/>
      <c r="C176" s="2"/>
      <c r="D176" s="2"/>
      <c r="E176" s="2"/>
      <c r="F176" s="2"/>
      <c r="G176" s="2"/>
      <c r="H176" s="2"/>
      <c r="I176" s="2"/>
      <c r="J176" s="2"/>
      <c r="K176" s="2"/>
      <c r="L176" s="2"/>
      <c r="M176" s="2"/>
      <c r="N176" s="2"/>
      <c r="O176" s="2"/>
      <c r="P176" s="2"/>
      <c r="Q176" s="2"/>
      <c r="R176" s="2"/>
      <c r="S176" s="2"/>
      <c r="T176" s="2"/>
      <c r="U176" s="2"/>
      <c r="V176" s="2"/>
      <c r="W176" s="2"/>
      <c r="X176" s="2"/>
      <c r="Y176" s="2"/>
      <c r="Z176" s="2"/>
      <c r="AA176" s="2"/>
      <c r="AB176" s="2"/>
      <c r="AC176" s="2"/>
      <c r="AD176" s="2"/>
      <c r="AE176" s="2"/>
      <c r="AF176" s="2"/>
      <c r="AG176" s="2"/>
      <c r="AH176" s="2"/>
      <c r="AI176" s="2"/>
      <c r="AJ176" s="2"/>
      <c r="AK176" s="2"/>
      <c r="AL176" s="2"/>
    </row>
  </sheetData>
  <pageMargins left="0.7" right="0.7" top="0.75" bottom="0.75" header="0.3" footer="0.3"/>
  <pageSetup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Sheet1</vt:lpstr>
      <vt:lpstr>Sheet2</vt:lpstr>
      <vt:lpstr>IVI</vt:lpstr>
    </vt:vector>
  </TitlesOfParts>
  <Company>Cambridge Engineering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Jim Kovacs</dc:creator>
  <cp:lastModifiedBy>Bailey Mosher</cp:lastModifiedBy>
  <cp:lastPrinted>2022-01-20T20:46:44Z</cp:lastPrinted>
  <dcterms:created xsi:type="dcterms:W3CDTF">2007-11-20T19:16:44Z</dcterms:created>
  <dcterms:modified xsi:type="dcterms:W3CDTF">2022-07-15T13:40:39Z</dcterms:modified>
</cp:coreProperties>
</file>